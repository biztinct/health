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0" windowWidth="16100" windowHeight="9660" activeTab="1"/>
  </bookViews>
  <sheets>
    <sheet name="Hanoi_Adjustments_Clean" sheetId="1" r:id="rId1"/>
    <sheet name="HCMC_Adjustments_Clean" sheetId="2" r:id="rId2"/>
    <sheet name="Hanoi_Base_Clean_v3" sheetId="3" r:id="rId3"/>
    <sheet name="HCMC_Base_Clean_v3" sheetId="4" r:id="rId4"/>
  </sheets>
  <calcPr calcId="145621"/>
</workbook>
</file>

<file path=xl/calcChain.xml><?xml version="1.0" encoding="utf-8"?>
<calcChain xmlns="http://schemas.openxmlformats.org/spreadsheetml/2006/main">
  <c r="O88" i="2" l="1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2" i="2"/>
  <c r="D71" i="2"/>
  <c r="D72" i="2"/>
</calcChain>
</file>

<file path=xl/sharedStrings.xml><?xml version="1.0" encoding="utf-8"?>
<sst xmlns="http://schemas.openxmlformats.org/spreadsheetml/2006/main" count="2728" uniqueCount="467">
  <si>
    <t>Region</t>
  </si>
  <si>
    <t>Adjustment Applies item_code</t>
  </si>
  <si>
    <t>Adjustment_Value</t>
  </si>
  <si>
    <t>Calc_Seq</t>
  </si>
  <si>
    <t>Hanoi</t>
  </si>
  <si>
    <t>đd_010</t>
  </si>
  <si>
    <t>đd_015</t>
  </si>
  <si>
    <t>đd_020</t>
  </si>
  <si>
    <t>đd_022</t>
  </si>
  <si>
    <t>đd_024</t>
  </si>
  <si>
    <t>đd_030</t>
  </si>
  <si>
    <t>đd_032</t>
  </si>
  <si>
    <t>đd_034</t>
  </si>
  <si>
    <t>đd_040</t>
  </si>
  <si>
    <t>đd_045</t>
  </si>
  <si>
    <t>bs_040</t>
  </si>
  <si>
    <t>bs_050</t>
  </si>
  <si>
    <t>đd_060</t>
  </si>
  <si>
    <t>bs_010</t>
  </si>
  <si>
    <t>bs_020</t>
  </si>
  <si>
    <t>bs_030</t>
  </si>
  <si>
    <t>đd_240</t>
  </si>
  <si>
    <t>dk_010</t>
  </si>
  <si>
    <t>Any Service</t>
  </si>
  <si>
    <t>Any nursing service (service_type = DV_ĐD)</t>
  </si>
  <si>
    <t>Any Nurse Service</t>
  </si>
  <si>
    <t>đd_210</t>
  </si>
  <si>
    <t>đd_220</t>
  </si>
  <si>
    <t>bs_060</t>
  </si>
  <si>
    <t>Chăm sóc vết thương nhiễm trùng (vết loét tỳ đè) &lt; 15cm</t>
  </si>
  <si>
    <t>Chăm sóc vết thương nhiễm trùng (vết loét tỳ đè) 15cm - 30cm</t>
  </si>
  <si>
    <t>Thay băng vết thương &lt; 5cm</t>
  </si>
  <si>
    <t>Thay băng vết thương 5cm - 15cm</t>
  </si>
  <si>
    <t>Thay băng vết thương 15cm - 30cm</t>
  </si>
  <si>
    <t>Cắt chỉ vết thương &lt;5cm</t>
  </si>
  <si>
    <t>Cắt chỉ vết thương 5cm - 15cm</t>
  </si>
  <si>
    <t>Cắt chỉ vết thương 15cm - 30cm</t>
  </si>
  <si>
    <t>Cắt chỉ thép &lt; 15cm</t>
  </si>
  <si>
    <t>Cắt chỉ thép 15cm - 30cm</t>
  </si>
  <si>
    <t>Siêu âm + đọc kết quả</t>
  </si>
  <si>
    <t>Điện tim + đọc kết quả</t>
  </si>
  <si>
    <t>Tiêm bắp/ trong da/ dưới da</t>
  </si>
  <si>
    <t>Phí bác sĩ  (Dịch vụ bị hủy)</t>
  </si>
  <si>
    <t>Khám nội khoa</t>
  </si>
  <si>
    <t>Khám nội trực tuyến</t>
  </si>
  <si>
    <t>Phí điều dưỡng (Giờ bổ sung)</t>
  </si>
  <si>
    <t>Chỉnh sửa mô tả</t>
  </si>
  <si>
    <t>Phí lấy mẫu xét nghiệm</t>
  </si>
  <si>
    <t>Kiểm tra đường huyết mao mạch</t>
  </si>
  <si>
    <t>Chọc dịch ổ bụng</t>
  </si>
  <si>
    <t>Wounds after the first on same visit</t>
  </si>
  <si>
    <t>Is Service at Home</t>
  </si>
  <si>
    <t>After 1st injection</t>
  </si>
  <si>
    <t>Is After Hours or Weekend</t>
  </si>
  <si>
    <t>Starting after 20:00 and before 6am the next day</t>
  </si>
  <si>
    <t xml:space="preserve">Sales/OM Prequotes </t>
  </si>
  <si>
    <t>Client Requires Bilingual Provider</t>
  </si>
  <si>
    <t>Is Public Holiday</t>
  </si>
  <si>
    <t>Any client after the first at the same location same service</t>
  </si>
  <si>
    <t>Multiple and/or repeat bookings</t>
  </si>
  <si>
    <t>Distance from clinic 10km - 20km</t>
  </si>
  <si>
    <t>Distance from Clinic &gt;20km</t>
  </si>
  <si>
    <t>Distance from Clinic 5km - 8km</t>
  </si>
  <si>
    <t>Distance from Clinic 8km - 20km</t>
  </si>
  <si>
    <t>Distance from Clinic &gt;8km</t>
  </si>
  <si>
    <t>Distance from Clinic &gt;10km</t>
  </si>
  <si>
    <t>replace</t>
  </si>
  <si>
    <t>add</t>
  </si>
  <si>
    <t>multiply</t>
  </si>
  <si>
    <t>discount base price</t>
  </si>
  <si>
    <t>number of wounds</t>
  </si>
  <si>
    <t>location of service</t>
  </si>
  <si>
    <t>number of injections</t>
  </si>
  <si>
    <t>part of service is after hours or weekend</t>
  </si>
  <si>
    <t>part of service is between 20:00 pm and 06:00 am</t>
  </si>
  <si>
    <t>service and price quoted</t>
  </si>
  <si>
    <t>client language requirement</t>
  </si>
  <si>
    <t>is public holiday</t>
  </si>
  <si>
    <t>number of clients this location same visit</t>
  </si>
  <si>
    <t>number of bookings made by client</t>
  </si>
  <si>
    <t>distance from clinic</t>
  </si>
  <si>
    <t>taxi fare and travel time from clinic to location of service</t>
  </si>
  <si>
    <t>Provider after Service</t>
  </si>
  <si>
    <t>Booking/Form</t>
  </si>
  <si>
    <t>App Clock</t>
  </si>
  <si>
    <t>Public Holidays Table</t>
  </si>
  <si>
    <t>CMF + Booking Form</t>
  </si>
  <si>
    <t>Quotation on Booking Form</t>
  </si>
  <si>
    <t>Applies to this item</t>
  </si>
  <si>
    <t>Applies to any service delivered to client</t>
  </si>
  <si>
    <t>after calculation sequence 4</t>
  </si>
  <si>
    <t>HCMC</t>
  </si>
  <si>
    <t>đd_025</t>
  </si>
  <si>
    <t>đd_035</t>
  </si>
  <si>
    <t>đd_050</t>
  </si>
  <si>
    <t>đd_055</t>
  </si>
  <si>
    <t>đd_065</t>
  </si>
  <si>
    <t>đd_070</t>
  </si>
  <si>
    <t>đd_080</t>
  </si>
  <si>
    <t>đd_090</t>
  </si>
  <si>
    <t>đd_100</t>
  </si>
  <si>
    <t>đd_110</t>
  </si>
  <si>
    <t>đd_120</t>
  </si>
  <si>
    <t>đd_130</t>
  </si>
  <si>
    <t>đd_140</t>
  </si>
  <si>
    <t>bs_015</t>
  </si>
  <si>
    <t>đd_310</t>
  </si>
  <si>
    <t>đd_280</t>
  </si>
  <si>
    <t>đd_290</t>
  </si>
  <si>
    <t>Chăm sóc vết thương nhiễm trùng (vết loét tỳ đè) &lt;15cm</t>
  </si>
  <si>
    <t>Chăm sóc vết thương nhiễm trùng (vết loét tỳ đè) &lt;15cm - 30cm</t>
  </si>
  <si>
    <t>Thay băng vết thương &lt; 15cm</t>
  </si>
  <si>
    <t>Cắt chỉ vết thương &lt; 15cm</t>
  </si>
  <si>
    <t>Cắt chỉ vết thương 15cm - 30 cm</t>
  </si>
  <si>
    <t>Cắt chỉ vết thương thẩm mỹ</t>
  </si>
  <si>
    <t>Truyền theo thời gian &lt;= 3 giờ</t>
  </si>
  <si>
    <t>Truyền theo thời gian &gt; 3 giờ</t>
  </si>
  <si>
    <t>Tiêm bắp, trong da, dưới da</t>
  </si>
  <si>
    <t>Tiêm tĩnh mạch qua vein</t>
  </si>
  <si>
    <t>Đặt, thay sonde tiểu lưu</t>
  </si>
  <si>
    <t>Rút ống sonde tiểu lưu</t>
  </si>
  <si>
    <t>Đặt, thay sonde dạ dày</t>
  </si>
  <si>
    <t>Rửa bàng quang</t>
  </si>
  <si>
    <t>Hút đờm hầu họng</t>
  </si>
  <si>
    <t>Khí dung</t>
  </si>
  <si>
    <t>Chăm sóc cá nhân 1h</t>
  </si>
  <si>
    <t>Phí dịch vụ yêu cầu bác sĩ tại PK</t>
  </si>
  <si>
    <t>Phí dịch vụ yêu cầu bác sĩ tại Nhà</t>
  </si>
  <si>
    <t>Khám nội khoa Tư vấn trực tuyến</t>
  </si>
  <si>
    <t>Phí điều dưỡng</t>
  </si>
  <si>
    <t>Phí dịch vụ yêu cầu bác sĩ</t>
  </si>
  <si>
    <t>Is Service at home</t>
  </si>
  <si>
    <t>Valid item if Is Service at home AND client receives another service this visit</t>
  </si>
  <si>
    <t>After 1st bottle of IV fluid</t>
  </si>
  <si>
    <t>After 1st medication added</t>
  </si>
  <si>
    <t>Every Additional Injection</t>
  </si>
  <si>
    <t>Every Additional Medication</t>
  </si>
  <si>
    <t>Client receives another service this visit</t>
  </si>
  <si>
    <t>Service between 8 pm and 11:59 pm</t>
  </si>
  <si>
    <t>Distance from clinic 8km - 15km</t>
  </si>
  <si>
    <t>Distance from clinic 15km-20km</t>
  </si>
  <si>
    <t>service_location</t>
  </si>
  <si>
    <t>service_location and other service</t>
  </si>
  <si>
    <t>number of wounds x wound size</t>
  </si>
  <si>
    <t>number of bottles of iv fluid</t>
  </si>
  <si>
    <t>number of medications added</t>
  </si>
  <si>
    <t>valid item if client receives another service</t>
  </si>
  <si>
    <t>service is after hours or on weekend</t>
  </si>
  <si>
    <t>Service Duration log; booking Form;</t>
  </si>
  <si>
    <t>Booking/Form &amp; Provider after Service</t>
  </si>
  <si>
    <t>Booking form &amp; Provider after Service</t>
  </si>
  <si>
    <t>Apply to this item_name</t>
  </si>
  <si>
    <t>Apply after calculation sequence 5</t>
  </si>
  <si>
    <t>Applied to each service delivered after calculation step 6</t>
  </si>
  <si>
    <t>row_order</t>
  </si>
  <si>
    <t>province</t>
  </si>
  <si>
    <t>item_code</t>
  </si>
  <si>
    <t>service_name_vi</t>
  </si>
  <si>
    <t>service_name_en</t>
  </si>
  <si>
    <t>base_fee_vnd</t>
  </si>
  <si>
    <t>currency</t>
  </si>
  <si>
    <t>rounding_rule</t>
  </si>
  <si>
    <t>valid_from</t>
  </si>
  <si>
    <t>valid_to</t>
  </si>
  <si>
    <t>price_version</t>
  </si>
  <si>
    <t>last_updated_by</t>
  </si>
  <si>
    <t>last_updated_on</t>
  </si>
  <si>
    <t>reason_for_change</t>
  </si>
  <si>
    <t>DV Bs</t>
  </si>
  <si>
    <t>Nội khoa</t>
  </si>
  <si>
    <t>Khám &amp; Điều trị</t>
  </si>
  <si>
    <t>Examination &amp; Treatment</t>
  </si>
  <si>
    <t>lần</t>
  </si>
  <si>
    <t>per_service</t>
  </si>
  <si>
    <t>VND</t>
  </si>
  <si>
    <t>rounded up to next 30 mins</t>
  </si>
  <si>
    <t>round up to next 5 mins</t>
  </si>
  <si>
    <t>Ảnh y tế &amp; Thủ thuật</t>
  </si>
  <si>
    <t>Imaging &amp; Procedures</t>
  </si>
  <si>
    <t>Round up to next 1,000</t>
  </si>
  <si>
    <t>DV ĐD</t>
  </si>
  <si>
    <t>Vết thương</t>
  </si>
  <si>
    <t>Chăm sóc VT</t>
  </si>
  <si>
    <t>Wound Care</t>
  </si>
  <si>
    <t>VT</t>
  </si>
  <si>
    <t>TPHCM</t>
  </si>
  <si>
    <t>Cấp cứu</t>
  </si>
  <si>
    <t>Truyền &amp; Tiêm</t>
  </si>
  <si>
    <t>IV &amp; Injections</t>
  </si>
  <si>
    <t>Truyền theo thời gian &lt;= 2 giờ</t>
  </si>
  <si>
    <t>giờ</t>
  </si>
  <si>
    <t>per_hour</t>
  </si>
  <si>
    <t>Round up to next half hour</t>
  </si>
  <si>
    <t>Truyền theo thời gian &gt; 2 giờ</t>
  </si>
  <si>
    <t>mũi</t>
  </si>
  <si>
    <t>Sonde</t>
  </si>
  <si>
    <t>Đặt / thay sonde tiểu lưu</t>
  </si>
  <si>
    <t>Đặt / thay sonde dạ dày</t>
  </si>
  <si>
    <t>Rút ống sonde dạ dày</t>
  </si>
  <si>
    <t>Hỗ trợ hô hấp</t>
  </si>
  <si>
    <t>Breathing Assistance</t>
  </si>
  <si>
    <t>đd_150</t>
  </si>
  <si>
    <t>Thụt tháo</t>
  </si>
  <si>
    <t>Enema</t>
  </si>
  <si>
    <t>Thụt tháo bằng thuốc</t>
  </si>
  <si>
    <t>đd_160</t>
  </si>
  <si>
    <t>Thụt tháo bằng nước</t>
  </si>
  <si>
    <t>đd_170</t>
  </si>
  <si>
    <t>chăm sóc</t>
  </si>
  <si>
    <t>CSGN</t>
  </si>
  <si>
    <t>Palliative Care</t>
  </si>
  <si>
    <t>Chăm sóc giảm nhẹ ban ngày (tối thiểu 4 giờ:) Ban ngày</t>
  </si>
  <si>
    <t>rounded up to next hour</t>
  </si>
  <si>
    <t>đd_180</t>
  </si>
  <si>
    <t>Chăm sóc giảm nhẹ ban đêm (tối thiểu 8 giờ)  Ban đêm</t>
  </si>
  <si>
    <t>đd_190</t>
  </si>
  <si>
    <t>CSCN</t>
  </si>
  <si>
    <t>ADL</t>
  </si>
  <si>
    <t>Chăm sóc cá nhân ban ngày (tối thiểu 3 giờ)</t>
  </si>
  <si>
    <t>đd_200</t>
  </si>
  <si>
    <t>Chăm sóc cá nhân ban đêm (tối thiểu 8 giờ)</t>
  </si>
  <si>
    <t>Khác</t>
  </si>
  <si>
    <t>Mẫu bệnh phẩm</t>
  </si>
  <si>
    <t>Specimen Sample</t>
  </si>
  <si>
    <t>đd_230</t>
  </si>
  <si>
    <t>Điện tâm đồ</t>
  </si>
  <si>
    <t>Điều dưỡng Khác</t>
  </si>
  <si>
    <t>Dịch vụ yêu cầu khác</t>
  </si>
  <si>
    <t>Other Requested Service</t>
  </si>
  <si>
    <t>Cắt chỉ thép 15cm - 30 cm</t>
  </si>
  <si>
    <t>Chăm sóc giảm nhẹ 6h</t>
  </si>
  <si>
    <t>gói</t>
  </si>
  <si>
    <t>Chăm sóc giảm nhẹ 8h</t>
  </si>
  <si>
    <t>Chăm sóc giảm nhẹ 10h</t>
  </si>
  <si>
    <t>Chăm sóc giảm nhẹ 12h ngày</t>
  </si>
  <si>
    <t>Chăm sóc giảm nhẹ 12h đêm</t>
  </si>
  <si>
    <t>Rounded up to next hour</t>
  </si>
  <si>
    <t>Chăm sóc cá nhân 3h</t>
  </si>
  <si>
    <t>Chăm sóc cá nhân 5h</t>
  </si>
  <si>
    <t>đd_250</t>
  </si>
  <si>
    <t>Chăm sóc cá nhân 10h</t>
  </si>
  <si>
    <t>đd_260</t>
  </si>
  <si>
    <t>Chăm sóc cá nhân 12h ngày</t>
  </si>
  <si>
    <t>đd_270</t>
  </si>
  <si>
    <t>Chăm sóc cá nhân 12h đêm</t>
  </si>
  <si>
    <t>đd_300</t>
  </si>
  <si>
    <t>Internal Medicine</t>
  </si>
  <si>
    <t>Emergency Care</t>
  </si>
  <si>
    <t>Care Packages</t>
  </si>
  <si>
    <t>Doctor Service</t>
  </si>
  <si>
    <t>Nurse Service</t>
  </si>
  <si>
    <t>service_type_vi</t>
  </si>
  <si>
    <t>service_type_en</t>
  </si>
  <si>
    <t>service_category_vi</t>
  </si>
  <si>
    <t>service_category_en</t>
  </si>
  <si>
    <t>item_description_vi</t>
  </si>
  <si>
    <t>item_description_en</t>
  </si>
  <si>
    <t>Doctor's Fee (Cancelled Service)</t>
  </si>
  <si>
    <t>Internal examination</t>
  </si>
  <si>
    <t>Online internal examination</t>
  </si>
  <si>
    <t>Ultrasound + reading results</t>
  </si>
  <si>
    <t>ECG + reading results</t>
  </si>
  <si>
    <t>Abdominal paracentesis</t>
  </si>
  <si>
    <t>Care for infected wounds (pressure ulcers) &lt; 15cm</t>
  </si>
  <si>
    <t>Care for infected wounds (pressure ulcers) 15cm - 30cm</t>
  </si>
  <si>
    <t>Change wound dressing &lt; 5cm</t>
  </si>
  <si>
    <t>Change wound dressing 5cm - 15cm</t>
  </si>
  <si>
    <t>Change wound dressing 15cm - 30cm</t>
  </si>
  <si>
    <t>Remove wound suture &lt; 5cm</t>
  </si>
  <si>
    <t>Remove wound suture 5cm - 15cm</t>
  </si>
  <si>
    <t>Remove wound suture 15cm - 30cm</t>
  </si>
  <si>
    <t>Remove steel suture &lt; 15cm</t>
  </si>
  <si>
    <t>Remove steel suture 15cm - 30cm</t>
  </si>
  <si>
    <t>Infusion over time &lt;= 2 hours</t>
  </si>
  <si>
    <t>Infusion over time &gt; 2 hours</t>
  </si>
  <si>
    <t>Intramuscular/intradermal/subcutaneous injection</t>
  </si>
  <si>
    <t>Intravenous injection through vein</t>
  </si>
  <si>
    <t>Place/replace urinary catheter</t>
  </si>
  <si>
    <t>Remove urinary catheter save</t>
  </si>
  <si>
    <t>Nasal tube insertion/replacement</t>
  </si>
  <si>
    <t>Nasal tube removal</t>
  </si>
  <si>
    <t>Bladder irrigation</t>
  </si>
  <si>
    <t>Oral suction</t>
  </si>
  <si>
    <t>Naprobes</t>
  </si>
  <si>
    <t>Medical enema</t>
  </si>
  <si>
    <t>Water enema</t>
  </si>
  <si>
    <t>Daytime palliative care (minimum 4 hours) Daytime</t>
  </si>
  <si>
    <t>Nighttime palliative care (minimum 8 hours) Nighttime</t>
  </si>
  <si>
    <t>Daytime personal care (minimum 3 hours)</t>
  </si>
  <si>
    <t>Nighttime personal care (minimum 8 hours)</t>
  </si>
  <si>
    <t>Laboratory sample collection fee</t>
  </si>
  <si>
    <t>Capillary blood glucose test</t>
  </si>
  <si>
    <t>ECG</t>
  </si>
  <si>
    <t>Nursing fee (Additional hours)</t>
  </si>
  <si>
    <t>Edit description</t>
  </si>
  <si>
    <t>Other Nursing Care</t>
  </si>
  <si>
    <t>unit_vi</t>
  </si>
  <si>
    <t>unit_en</t>
  </si>
  <si>
    <t>item_active</t>
  </si>
  <si>
    <t>Wounds</t>
  </si>
  <si>
    <t>Thay băng</t>
  </si>
  <si>
    <t>Change Bandages</t>
  </si>
  <si>
    <t xml:space="preserve">Cắt chỉ </t>
  </si>
  <si>
    <t>Cắt chỉ thép</t>
  </si>
  <si>
    <t>String Stitch Removal</t>
  </si>
  <si>
    <t>Steel Stitch Removal</t>
  </si>
  <si>
    <t>Catheters</t>
  </si>
  <si>
    <t>Nursing Fee (Additional Hours)</t>
  </si>
  <si>
    <t>Cắt chỉ</t>
  </si>
  <si>
    <t>Enemas</t>
  </si>
  <si>
    <t>Care for infected wounds (pressure ulcers) &lt;15cm</t>
  </si>
  <si>
    <t>Care for infected wounds (pressure ulcers) &lt;15cm - 30cm</t>
  </si>
  <si>
    <t>Change wound dressing &lt;15cm</t>
  </si>
  <si>
    <t>Remove wound sutures &lt;15cm</t>
  </si>
  <si>
    <t>Remove wound sutures 15cm - 30cm</t>
  </si>
  <si>
    <t>Remove cosmetic wound sutures</t>
  </si>
  <si>
    <t>Remove steel sutures &lt;15cm</t>
  </si>
  <si>
    <t>Remove steel sutures 15cm - 30cm</t>
  </si>
  <si>
    <t>Infusion over time &lt;= 3 hours</t>
  </si>
  <si>
    <t>Infusion over time &gt; 3 hours</t>
  </si>
  <si>
    <t>Intramuscular, intradermal, subcutaneous injection</t>
  </si>
  <si>
    <t>Insert, replace urinary catheter</t>
  </si>
  <si>
    <t>Remove urinary catheter</t>
  </si>
  <si>
    <t>Insert, replace gastric catheter Thick</t>
  </si>
  <si>
    <t>Bladder Wash</t>
  </si>
  <si>
    <t>Throat Suction</t>
  </si>
  <si>
    <t>Nebulizer</t>
  </si>
  <si>
    <t>Medical Enema</t>
  </si>
  <si>
    <t>Water Enema</t>
  </si>
  <si>
    <t>Palliative Care 6h</t>
  </si>
  <si>
    <t>Palliative Care 8h</t>
  </si>
  <si>
    <t>Palliative Care 10h</t>
  </si>
  <si>
    <t>Palliative Care 12h Daytime</t>
  </si>
  <si>
    <t>Palliative Care 12h Nighttime</t>
  </si>
  <si>
    <t>Personal Care 1h</t>
  </si>
  <si>
    <t>Personal Care 3h</t>
  </si>
  <si>
    <t>Personal Care 5h</t>
  </si>
  <si>
    <t>Personal Care 10h</t>
  </si>
  <si>
    <t>Personal Care 12h Daytime</t>
  </si>
  <si>
    <t>Personal Care 12h Nighttime</t>
  </si>
  <si>
    <t>Laboratory Fee</t>
  </si>
  <si>
    <t>Capillary Blood Glucose Test</t>
  </si>
  <si>
    <t>Edit Description</t>
  </si>
  <si>
    <t>Medical Examination &amp; Treatment at home</t>
  </si>
  <si>
    <t>Medical Examination &amp; Treatment in the clinic</t>
  </si>
  <si>
    <t>Telemedicine Consult</t>
  </si>
  <si>
    <t>per wound</t>
  </si>
  <si>
    <t>per_wound</t>
  </si>
  <si>
    <t>per_injection</t>
  </si>
  <si>
    <t>per_package</t>
  </si>
  <si>
    <t>Adjustment Applies to this item_code</t>
  </si>
  <si>
    <t>On Receipt or Quote</t>
  </si>
  <si>
    <t>Discount on Booking Form</t>
  </si>
  <si>
    <t>10,000 per km</t>
  </si>
  <si>
    <t>On Booking Form</t>
  </si>
  <si>
    <t>Adjustment Applies to this item_name_vi</t>
  </si>
  <si>
    <t>Change wound dressings &lt; 5cm</t>
  </si>
  <si>
    <t>Change wound dressings 5cm - 15cm</t>
  </si>
  <si>
    <t>Change wound dressings 15cm - 30cm</t>
  </si>
  <si>
    <t>Remove wound sutures &lt; 5cm</t>
  </si>
  <si>
    <t>Remove wound sutures 5cm - 15cm</t>
  </si>
  <si>
    <t>Remove steel sutures &lt; 15cm</t>
  </si>
  <si>
    <t>Intramuscular/intradermal/subcutaneous injections</t>
  </si>
  <si>
    <t>Doctor's fee (Cancelled service)</t>
  </si>
  <si>
    <t>Abdominal Paracentesis</t>
  </si>
  <si>
    <t>Bất kỳ dịch vụ nào</t>
  </si>
  <si>
    <t>Bất kỳ dịch vụ ĐD nào</t>
  </si>
  <si>
    <t>Adjustment Applies to this item_name_en</t>
  </si>
  <si>
    <t>Subsequent Wounds on same visit</t>
  </si>
  <si>
    <t>Các vết thương tiếp theo trong cùng một lần khám</t>
  </si>
  <si>
    <t>Dịch vụ tại nhà</t>
  </si>
  <si>
    <t>Sau mũi tiêm đầu tiên</t>
  </si>
  <si>
    <t>Ngoài giờ làm việc hay cuối tuần</t>
  </si>
  <si>
    <t>Bắt đầu sau 20:00 và trước 6 giờ sáng ngày hôm sau</t>
  </si>
  <si>
    <t>Báo giá trước cho bộ phận bán hàng/OM</t>
  </si>
  <si>
    <t>Khách hàng yêu cầu nhà cung cấp song ngữ</t>
  </si>
  <si>
    <t>Công khai Kỳ nghỉ</t>
  </si>
  <si>
    <t>Bất kỳ khách hàng nào sau lần đầu tiên tại cùng một địa điểm, cùng một dịch vụ</t>
  </si>
  <si>
    <t>Đặt lịch nhiều lần và/hoặc đặt lịch lặp lại</t>
  </si>
  <si>
    <t>Khoảng cách từ phòng khám 10km - 20km</t>
  </si>
  <si>
    <t>Khoảng cách từ phòng khám &gt;20km</t>
  </si>
  <si>
    <t>Khoảng cách từ phòng khám 5km - 8km</t>
  </si>
  <si>
    <t>Khoảng cách từ phòng khám 8km - 20km</t>
  </si>
  <si>
    <t>Khoảng cách từ phòng khám &gt;8km</t>
  </si>
  <si>
    <t>Khoảng cách từ phòng khám &gt;10km</t>
  </si>
  <si>
    <t>Trigger Condition en</t>
  </si>
  <si>
    <t>Trigger Condition vi</t>
  </si>
  <si>
    <t>thay thế</t>
  </si>
  <si>
    <t>thêm</t>
  </si>
  <si>
    <t>nhân</t>
  </si>
  <si>
    <t>giá cơ sở giảm giá</t>
  </si>
  <si>
    <t>giảm giá</t>
  </si>
  <si>
    <t>Adjustment_Type_en</t>
  </si>
  <si>
    <t>Số lượng vết thương</t>
  </si>
  <si>
    <t>Địa điểm dịch vụ</t>
  </si>
  <si>
    <t>Số lượng mũi tiêm</t>
  </si>
  <si>
    <t>Một phần dịch vụ ngoài giờ hoặc cuối tuần</t>
  </si>
  <si>
    <t>Một phần dịch vụ từ 20:00 tối đến 6:00 sáng</t>
  </si>
  <si>
    <t>Dịch vụ và giá được báo</t>
  </si>
  <si>
    <t>Yêu cầu ngôn ngữ của khách hàng</t>
  </si>
  <si>
    <t>Ngày lễ</t>
  </si>
  <si>
    <t>Số lượng khách hàng cùng địa điểm đến</t>
  </si>
  <si>
    <t>Số lượng đặt lịch của khách hàng</t>
  </si>
  <si>
    <t>Khoảng cách từ phòng khám</t>
  </si>
  <si>
    <t>Giá cước taxi và thời gian di chuyển từ phòng khám đến địa điểm dịch vụ</t>
  </si>
  <si>
    <t>Data_Required_vi</t>
  </si>
  <si>
    <t>Data_Required_en</t>
  </si>
  <si>
    <t>Nhà cung cấp sau Dịch vụ</t>
  </si>
  <si>
    <t>Đặt chỗ/Biểu mẫu</t>
  </si>
  <si>
    <t>Đồng hồ ứng dụng</t>
  </si>
  <si>
    <t>Bảng ngày lễ</t>
  </si>
  <si>
    <t>CMF + Biểu mẫu đặt chỗ</t>
  </si>
  <si>
    <t>Báo giá trên Biểu mẫu đặt chỗ</t>
  </si>
  <si>
    <t>Trigger_Source_vi</t>
  </si>
  <si>
    <t>Trigger_Source_en</t>
  </si>
  <si>
    <t>Áp dụng cho mục này</t>
  </si>
  <si>
    <t>Áp dụng cho bất kỳ dịch vụ nào được cung cấp cho khách hàng</t>
  </si>
  <si>
    <t>Sau chuỗi tính toán 4</t>
  </si>
  <si>
    <t>Notes_vi</t>
  </si>
  <si>
    <t>Notes_en</t>
  </si>
  <si>
    <t>Care of infected wounds (pressure ulcers) &lt;15cm</t>
  </si>
  <si>
    <t>Care of infected wounds (pressure ulcers) &lt;15cm - 30cm</t>
  </si>
  <si>
    <t>Change wound dressings &lt;15cm</t>
  </si>
  <si>
    <t>Insert, replace gastric catheter</t>
  </si>
  <si>
    <t>Bladder lavage</t>
  </si>
  <si>
    <t>Throat suction</t>
  </si>
  <si>
    <t>Aerosol</t>
  </si>
  <si>
    <t>Place, change gastric tube</t>
  </si>
  <si>
    <t>Infusion over time &gt;3 hours</t>
  </si>
  <si>
    <t>Intramuscular, intradermal, subcutaneous</t>
  </si>
  <si>
    <t>Doctor Request Service Fee at Clinic</t>
  </si>
  <si>
    <t>Doctor Request Service Fee at Home</t>
  </si>
  <si>
    <t>Internal Medicine Online Consultation</t>
  </si>
  <si>
    <t>Nursing Fee</t>
  </si>
  <si>
    <t>Doctor Request Service Fee</t>
  </si>
  <si>
    <t>Intramuscular, Intradermal, Subcutaneous Injection</t>
  </si>
  <si>
    <t>Intravenous Injection</t>
  </si>
  <si>
    <t>Sample Collection Fee</t>
  </si>
  <si>
    <t>Capillary Blood Sugar Test</t>
  </si>
  <si>
    <t>Hourly ADL Care</t>
  </si>
  <si>
    <t>Wounds after the first on the same visit</t>
  </si>
  <si>
    <t>Sales/OM Prequotes</t>
  </si>
  <si>
    <t/>
  </si>
  <si>
    <t>Vị trí dịch vụ</t>
  </si>
  <si>
    <t>service_location và các dịch vụ khác</t>
  </si>
  <si>
    <t>số vết thương x kích thước vết thương</t>
  </si>
  <si>
    <t>số chai dịch truyền tĩnh mạch</t>
  </si>
  <si>
    <t>số thuốc đã thêm</t>
  </si>
  <si>
    <t>số mũi tiêm</t>
  </si>
  <si>
    <t>mục hợp lệ nếu khách hàng nhận dịch vụ khác</t>
  </si>
  <si>
    <t>dịch vụ ngoài giờ hoặc cuối tuần</t>
  </si>
  <si>
    <t>Cước taxi và thời gian di chuyển từ phòng khám đến địa điểm cung cấp dịch vụ</t>
  </si>
  <si>
    <t>Yêu cầu về ngôn ngữ của khách hàng</t>
  </si>
  <si>
    <t>Số lượng khách hàng đến cùng địa điểm</t>
  </si>
  <si>
    <t>Số lượng đặt chỗ của khách hàng</t>
  </si>
  <si>
    <t>Áp dụng cho item_name này</t>
  </si>
  <si>
    <t>Áp dụng sau chuỗi tính toán 5</t>
  </si>
  <si>
    <t>Áp dụng cho mỗi dịch vụ được cung cấp sau bước tính toán 6</t>
  </si>
  <si>
    <t>Nhật ký thời gian dịch vụ; Biểu mẫu đặt chỗ;</t>
  </si>
  <si>
    <t>Đặt chỗ/Biểu mẫu &amp; Nhà cung cấp sau Dịch vụ</t>
  </si>
  <si>
    <t>CMF + Phiếu Đặt Chỗ</t>
  </si>
  <si>
    <t>Báo giá trên Phiếu Đặt Chỗ</t>
  </si>
  <si>
    <t>Đặt Chỗ/Phiếu</t>
  </si>
  <si>
    <t>Bảng Ngày Lễ</t>
  </si>
  <si>
    <t>Phiếu Đặt Chỗ &amp; Nhà Cung Cấp Dịch Vụ Sau</t>
  </si>
  <si>
    <t>Đặt chỗ/Biểu mẫu &amp; Nhà cung cấp sau khi sử dụng dịch vụ</t>
  </si>
  <si>
    <t>Adjustment_Type_vi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</si>
</sst>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E1" sqref="E1:F1"/>
    </sheetView>
  </sheetViews>
  <sheetFormatPr defaultRowHeight="14.5" x14ac:dyDescent="0.35"/>
  <cols>
    <col min="1" max="1" width="6.453125" bestFit="1" customWidth="1"/>
    <col min="2" max="2" width="37.26953125" bestFit="1" customWidth="1"/>
    <col min="3" max="4" width="53.26953125" hidden="1" customWidth="1"/>
    <col min="5" max="5" width="53.26953125" customWidth="1"/>
    <col min="6" max="6" width="49.453125" bestFit="1" customWidth="1"/>
    <col min="7" max="8" width="17" customWidth="1"/>
    <col min="9" max="10" width="24.26953125" customWidth="1"/>
    <col min="11" max="11" width="48.1796875" bestFit="1" customWidth="1"/>
    <col min="12" max="12" width="8.1796875" bestFit="1" customWidth="1"/>
    <col min="13" max="13" width="35" customWidth="1"/>
    <col min="14" max="14" width="24.08984375" bestFit="1" customWidth="1"/>
    <col min="15" max="15" width="24.08984375" customWidth="1"/>
    <col min="16" max="16" width="34.54296875" bestFit="1" customWidth="1"/>
  </cols>
  <sheetData>
    <row r="1" spans="1:16" x14ac:dyDescent="0.35">
      <c r="A1" s="1" t="s">
        <v>0</v>
      </c>
      <c r="B1" s="1" t="s">
        <v>350</v>
      </c>
      <c r="C1" s="1" t="s">
        <v>355</v>
      </c>
      <c r="D1" s="1" t="s">
        <v>367</v>
      </c>
      <c r="E1" s="1" t="s">
        <v>386</v>
      </c>
      <c r="F1" s="1" t="s">
        <v>385</v>
      </c>
      <c r="G1" s="1" t="s">
        <v>466</v>
      </c>
      <c r="H1" s="1" t="s">
        <v>392</v>
      </c>
      <c r="I1" s="1" t="s">
        <v>2</v>
      </c>
      <c r="J1" s="1" t="s">
        <v>405</v>
      </c>
      <c r="K1" s="1" t="s">
        <v>406</v>
      </c>
      <c r="L1" s="1" t="s">
        <v>3</v>
      </c>
      <c r="M1" s="1" t="s">
        <v>413</v>
      </c>
      <c r="N1" s="1" t="s">
        <v>414</v>
      </c>
      <c r="O1" s="1" t="s">
        <v>418</v>
      </c>
      <c r="P1" s="1" t="s">
        <v>419</v>
      </c>
    </row>
    <row r="2" spans="1:16" x14ac:dyDescent="0.35">
      <c r="A2" t="s">
        <v>4</v>
      </c>
      <c r="B2" t="s">
        <v>5</v>
      </c>
      <c r="C2" t="s">
        <v>29</v>
      </c>
      <c r="D2" t="s">
        <v>263</v>
      </c>
      <c r="E2" t="s">
        <v>369</v>
      </c>
      <c r="F2" t="s">
        <v>368</v>
      </c>
      <c r="G2" t="s">
        <v>387</v>
      </c>
      <c r="H2" t="s">
        <v>66</v>
      </c>
      <c r="I2">
        <v>100000</v>
      </c>
      <c r="J2" t="s">
        <v>393</v>
      </c>
      <c r="K2" t="s">
        <v>70</v>
      </c>
      <c r="L2">
        <v>1</v>
      </c>
      <c r="N2" t="s">
        <v>82</v>
      </c>
      <c r="O2" t="s">
        <v>415</v>
      </c>
      <c r="P2" t="s">
        <v>88</v>
      </c>
    </row>
    <row r="3" spans="1:16" x14ac:dyDescent="0.35">
      <c r="A3" t="s">
        <v>4</v>
      </c>
      <c r="B3" t="s">
        <v>6</v>
      </c>
      <c r="C3" t="s">
        <v>30</v>
      </c>
      <c r="D3" t="s">
        <v>264</v>
      </c>
      <c r="E3" t="s">
        <v>369</v>
      </c>
      <c r="F3" t="s">
        <v>368</v>
      </c>
      <c r="G3" t="s">
        <v>387</v>
      </c>
      <c r="H3" t="s">
        <v>66</v>
      </c>
      <c r="I3">
        <v>150000</v>
      </c>
      <c r="J3" t="s">
        <v>393</v>
      </c>
      <c r="K3" t="s">
        <v>70</v>
      </c>
      <c r="L3">
        <v>1</v>
      </c>
      <c r="N3" t="s">
        <v>82</v>
      </c>
      <c r="O3" t="s">
        <v>415</v>
      </c>
      <c r="P3" t="s">
        <v>88</v>
      </c>
    </row>
    <row r="4" spans="1:16" x14ac:dyDescent="0.35">
      <c r="A4" t="s">
        <v>4</v>
      </c>
      <c r="B4" t="s">
        <v>7</v>
      </c>
      <c r="C4" t="s">
        <v>31</v>
      </c>
      <c r="D4" t="s">
        <v>356</v>
      </c>
      <c r="E4" t="s">
        <v>369</v>
      </c>
      <c r="F4" t="s">
        <v>368</v>
      </c>
      <c r="G4" t="s">
        <v>387</v>
      </c>
      <c r="H4" t="s">
        <v>66</v>
      </c>
      <c r="I4">
        <v>50000</v>
      </c>
      <c r="J4" t="s">
        <v>393</v>
      </c>
      <c r="K4" t="s">
        <v>70</v>
      </c>
      <c r="L4">
        <v>1</v>
      </c>
      <c r="N4" t="s">
        <v>82</v>
      </c>
      <c r="O4" t="s">
        <v>415</v>
      </c>
      <c r="P4" t="s">
        <v>88</v>
      </c>
    </row>
    <row r="5" spans="1:16" x14ac:dyDescent="0.35">
      <c r="A5" t="s">
        <v>4</v>
      </c>
      <c r="B5" t="s">
        <v>8</v>
      </c>
      <c r="C5" t="s">
        <v>32</v>
      </c>
      <c r="D5" t="s">
        <v>357</v>
      </c>
      <c r="E5" t="s">
        <v>369</v>
      </c>
      <c r="F5" t="s">
        <v>368</v>
      </c>
      <c r="G5" t="s">
        <v>387</v>
      </c>
      <c r="H5" t="s">
        <v>66</v>
      </c>
      <c r="I5">
        <v>75000</v>
      </c>
      <c r="J5" t="s">
        <v>393</v>
      </c>
      <c r="K5" t="s">
        <v>70</v>
      </c>
      <c r="L5">
        <v>1</v>
      </c>
      <c r="N5" t="s">
        <v>82</v>
      </c>
      <c r="O5" t="s">
        <v>415</v>
      </c>
      <c r="P5" t="s">
        <v>88</v>
      </c>
    </row>
    <row r="6" spans="1:16" x14ac:dyDescent="0.35">
      <c r="A6" t="s">
        <v>4</v>
      </c>
      <c r="B6" t="s">
        <v>9</v>
      </c>
      <c r="C6" t="s">
        <v>33</v>
      </c>
      <c r="D6" t="s">
        <v>358</v>
      </c>
      <c r="E6" t="s">
        <v>369</v>
      </c>
      <c r="F6" t="s">
        <v>368</v>
      </c>
      <c r="G6" t="s">
        <v>387</v>
      </c>
      <c r="H6" t="s">
        <v>66</v>
      </c>
      <c r="I6">
        <v>100000</v>
      </c>
      <c r="J6" t="s">
        <v>393</v>
      </c>
      <c r="K6" t="s">
        <v>70</v>
      </c>
      <c r="L6">
        <v>1</v>
      </c>
      <c r="N6" t="s">
        <v>82</v>
      </c>
      <c r="O6" t="s">
        <v>415</v>
      </c>
      <c r="P6" t="s">
        <v>88</v>
      </c>
    </row>
    <row r="7" spans="1:16" x14ac:dyDescent="0.35">
      <c r="A7" t="s">
        <v>4</v>
      </c>
      <c r="B7" t="s">
        <v>10</v>
      </c>
      <c r="C7" t="s">
        <v>34</v>
      </c>
      <c r="D7" t="s">
        <v>359</v>
      </c>
      <c r="E7" t="s">
        <v>369</v>
      </c>
      <c r="F7" t="s">
        <v>368</v>
      </c>
      <c r="G7" t="s">
        <v>387</v>
      </c>
      <c r="H7" t="s">
        <v>66</v>
      </c>
      <c r="I7">
        <v>50000</v>
      </c>
      <c r="J7" t="s">
        <v>393</v>
      </c>
      <c r="K7" t="s">
        <v>70</v>
      </c>
      <c r="L7">
        <v>1</v>
      </c>
      <c r="N7" t="s">
        <v>82</v>
      </c>
      <c r="O7" t="s">
        <v>415</v>
      </c>
      <c r="P7" t="s">
        <v>88</v>
      </c>
    </row>
    <row r="8" spans="1:16" x14ac:dyDescent="0.35">
      <c r="A8" t="s">
        <v>4</v>
      </c>
      <c r="B8" t="s">
        <v>11</v>
      </c>
      <c r="C8" t="s">
        <v>35</v>
      </c>
      <c r="D8" t="s">
        <v>360</v>
      </c>
      <c r="E8" t="s">
        <v>369</v>
      </c>
      <c r="F8" t="s">
        <v>368</v>
      </c>
      <c r="G8" t="s">
        <v>387</v>
      </c>
      <c r="H8" t="s">
        <v>66</v>
      </c>
      <c r="I8">
        <v>75000</v>
      </c>
      <c r="J8" t="s">
        <v>393</v>
      </c>
      <c r="K8" t="s">
        <v>70</v>
      </c>
      <c r="L8">
        <v>1</v>
      </c>
      <c r="M8" t="s">
        <v>407</v>
      </c>
      <c r="N8" t="s">
        <v>82</v>
      </c>
      <c r="O8" t="s">
        <v>415</v>
      </c>
      <c r="P8" t="s">
        <v>88</v>
      </c>
    </row>
    <row r="9" spans="1:16" x14ac:dyDescent="0.35">
      <c r="A9" t="s">
        <v>4</v>
      </c>
      <c r="B9" t="s">
        <v>12</v>
      </c>
      <c r="C9" t="s">
        <v>36</v>
      </c>
      <c r="D9" t="s">
        <v>314</v>
      </c>
      <c r="E9" t="s">
        <v>369</v>
      </c>
      <c r="F9" t="s">
        <v>368</v>
      </c>
      <c r="G9" t="s">
        <v>387</v>
      </c>
      <c r="H9" t="s">
        <v>66</v>
      </c>
      <c r="I9">
        <v>100000</v>
      </c>
      <c r="J9" t="s">
        <v>393</v>
      </c>
      <c r="K9" t="s">
        <v>70</v>
      </c>
      <c r="L9">
        <v>1</v>
      </c>
      <c r="M9" t="s">
        <v>407</v>
      </c>
      <c r="N9" t="s">
        <v>82</v>
      </c>
      <c r="O9" t="s">
        <v>415</v>
      </c>
      <c r="P9" t="s">
        <v>88</v>
      </c>
    </row>
    <row r="10" spans="1:16" x14ac:dyDescent="0.35">
      <c r="A10" t="s">
        <v>4</v>
      </c>
      <c r="B10" t="s">
        <v>13</v>
      </c>
      <c r="C10" t="s">
        <v>37</v>
      </c>
      <c r="D10" t="s">
        <v>361</v>
      </c>
      <c r="E10" t="s">
        <v>369</v>
      </c>
      <c r="F10" t="s">
        <v>368</v>
      </c>
      <c r="G10" t="s">
        <v>387</v>
      </c>
      <c r="H10" t="s">
        <v>66</v>
      </c>
      <c r="I10">
        <v>100000</v>
      </c>
      <c r="J10" t="s">
        <v>393</v>
      </c>
      <c r="K10" t="s">
        <v>70</v>
      </c>
      <c r="L10">
        <v>1</v>
      </c>
      <c r="M10" t="s">
        <v>407</v>
      </c>
      <c r="N10" t="s">
        <v>82</v>
      </c>
      <c r="O10" t="s">
        <v>415</v>
      </c>
      <c r="P10" t="s">
        <v>88</v>
      </c>
    </row>
    <row r="11" spans="1:16" x14ac:dyDescent="0.35">
      <c r="A11" t="s">
        <v>4</v>
      </c>
      <c r="B11" t="s">
        <v>14</v>
      </c>
      <c r="C11" t="s">
        <v>38</v>
      </c>
      <c r="D11" t="s">
        <v>317</v>
      </c>
      <c r="E11" t="s">
        <v>369</v>
      </c>
      <c r="F11" t="s">
        <v>368</v>
      </c>
      <c r="G11" t="s">
        <v>387</v>
      </c>
      <c r="H11" t="s">
        <v>66</v>
      </c>
      <c r="I11">
        <v>150000</v>
      </c>
      <c r="J11" t="s">
        <v>393</v>
      </c>
      <c r="K11" t="s">
        <v>70</v>
      </c>
      <c r="L11">
        <v>1</v>
      </c>
      <c r="M11" t="s">
        <v>407</v>
      </c>
      <c r="N11" t="s">
        <v>82</v>
      </c>
      <c r="O11" t="s">
        <v>415</v>
      </c>
      <c r="P11" t="s">
        <v>88</v>
      </c>
    </row>
    <row r="12" spans="1:16" x14ac:dyDescent="0.35">
      <c r="A12" t="s">
        <v>4</v>
      </c>
      <c r="B12" t="s">
        <v>15</v>
      </c>
      <c r="C12" t="s">
        <v>39</v>
      </c>
      <c r="D12" t="s">
        <v>260</v>
      </c>
      <c r="E12" t="s">
        <v>370</v>
      </c>
      <c r="F12" t="s">
        <v>51</v>
      </c>
      <c r="G12" t="s">
        <v>388</v>
      </c>
      <c r="H12" t="s">
        <v>67</v>
      </c>
      <c r="I12">
        <v>200000</v>
      </c>
      <c r="J12" t="s">
        <v>394</v>
      </c>
      <c r="K12" t="s">
        <v>71</v>
      </c>
      <c r="L12">
        <v>1</v>
      </c>
      <c r="M12" t="s">
        <v>408</v>
      </c>
      <c r="N12" t="s">
        <v>83</v>
      </c>
      <c r="O12" t="s">
        <v>415</v>
      </c>
      <c r="P12" t="s">
        <v>88</v>
      </c>
    </row>
    <row r="13" spans="1:16" x14ac:dyDescent="0.35">
      <c r="A13" t="s">
        <v>4</v>
      </c>
      <c r="B13" t="s">
        <v>16</v>
      </c>
      <c r="C13" t="s">
        <v>40</v>
      </c>
      <c r="D13" t="s">
        <v>261</v>
      </c>
      <c r="E13" t="s">
        <v>370</v>
      </c>
      <c r="F13" t="s">
        <v>51</v>
      </c>
      <c r="G13" t="s">
        <v>388</v>
      </c>
      <c r="H13" t="s">
        <v>67</v>
      </c>
      <c r="I13">
        <v>200000</v>
      </c>
      <c r="J13" t="s">
        <v>394</v>
      </c>
      <c r="K13" t="s">
        <v>71</v>
      </c>
      <c r="L13">
        <v>1</v>
      </c>
      <c r="M13" t="s">
        <v>408</v>
      </c>
      <c r="N13" t="s">
        <v>83</v>
      </c>
      <c r="O13" t="s">
        <v>415</v>
      </c>
      <c r="P13" t="s">
        <v>88</v>
      </c>
    </row>
    <row r="14" spans="1:16" x14ac:dyDescent="0.35">
      <c r="A14" t="s">
        <v>4</v>
      </c>
      <c r="B14" t="s">
        <v>17</v>
      </c>
      <c r="C14" t="s">
        <v>41</v>
      </c>
      <c r="D14" t="s">
        <v>362</v>
      </c>
      <c r="E14" t="s">
        <v>371</v>
      </c>
      <c r="F14" t="s">
        <v>52</v>
      </c>
      <c r="G14" t="s">
        <v>387</v>
      </c>
      <c r="H14" t="s">
        <v>66</v>
      </c>
      <c r="I14">
        <v>50000</v>
      </c>
      <c r="J14" t="s">
        <v>395</v>
      </c>
      <c r="K14" t="s">
        <v>72</v>
      </c>
      <c r="L14">
        <v>1</v>
      </c>
      <c r="M14" t="s">
        <v>407</v>
      </c>
      <c r="N14" t="s">
        <v>82</v>
      </c>
      <c r="O14" t="s">
        <v>415</v>
      </c>
      <c r="P14" t="s">
        <v>88</v>
      </c>
    </row>
    <row r="15" spans="1:16" x14ac:dyDescent="0.35">
      <c r="A15" t="s">
        <v>4</v>
      </c>
      <c r="B15" t="s">
        <v>18</v>
      </c>
      <c r="C15" t="s">
        <v>42</v>
      </c>
      <c r="D15" t="s">
        <v>363</v>
      </c>
      <c r="E15" t="s">
        <v>372</v>
      </c>
      <c r="F15" t="s">
        <v>53</v>
      </c>
      <c r="G15" t="s">
        <v>388</v>
      </c>
      <c r="H15" t="s">
        <v>67</v>
      </c>
      <c r="I15">
        <v>150000</v>
      </c>
      <c r="J15" t="s">
        <v>396</v>
      </c>
      <c r="K15" t="s">
        <v>73</v>
      </c>
      <c r="L15">
        <v>1</v>
      </c>
      <c r="M15" t="s">
        <v>409</v>
      </c>
      <c r="N15" t="s">
        <v>84</v>
      </c>
      <c r="O15" t="s">
        <v>415</v>
      </c>
      <c r="P15" t="s">
        <v>88</v>
      </c>
    </row>
    <row r="16" spans="1:16" x14ac:dyDescent="0.35">
      <c r="A16" t="s">
        <v>4</v>
      </c>
      <c r="B16" t="s">
        <v>19</v>
      </c>
      <c r="C16" t="s">
        <v>43</v>
      </c>
      <c r="D16" t="s">
        <v>258</v>
      </c>
      <c r="E16" t="s">
        <v>372</v>
      </c>
      <c r="F16" t="s">
        <v>53</v>
      </c>
      <c r="G16" t="s">
        <v>388</v>
      </c>
      <c r="H16" t="s">
        <v>67</v>
      </c>
      <c r="I16">
        <v>150000</v>
      </c>
      <c r="J16" t="s">
        <v>396</v>
      </c>
      <c r="K16" t="s">
        <v>73</v>
      </c>
      <c r="L16">
        <v>1</v>
      </c>
      <c r="M16" t="s">
        <v>409</v>
      </c>
      <c r="N16" t="s">
        <v>84</v>
      </c>
      <c r="O16" t="s">
        <v>415</v>
      </c>
      <c r="P16" t="s">
        <v>88</v>
      </c>
    </row>
    <row r="17" spans="1:16" x14ac:dyDescent="0.35">
      <c r="A17" t="s">
        <v>4</v>
      </c>
      <c r="B17" t="s">
        <v>20</v>
      </c>
      <c r="C17" t="s">
        <v>44</v>
      </c>
      <c r="D17" t="s">
        <v>259</v>
      </c>
      <c r="E17" t="s">
        <v>372</v>
      </c>
      <c r="F17" t="s">
        <v>53</v>
      </c>
      <c r="G17" t="s">
        <v>388</v>
      </c>
      <c r="H17" t="s">
        <v>67</v>
      </c>
      <c r="I17">
        <v>150000</v>
      </c>
      <c r="J17" t="s">
        <v>396</v>
      </c>
      <c r="K17" t="s">
        <v>73</v>
      </c>
      <c r="L17">
        <v>1</v>
      </c>
      <c r="M17" t="s">
        <v>409</v>
      </c>
      <c r="N17" t="s">
        <v>84</v>
      </c>
      <c r="O17" t="s">
        <v>415</v>
      </c>
      <c r="P17" t="s">
        <v>88</v>
      </c>
    </row>
    <row r="18" spans="1:16" x14ac:dyDescent="0.35">
      <c r="A18" t="s">
        <v>4</v>
      </c>
      <c r="B18" t="s">
        <v>21</v>
      </c>
      <c r="C18" t="s">
        <v>45</v>
      </c>
      <c r="D18" t="s">
        <v>293</v>
      </c>
      <c r="E18" t="s">
        <v>372</v>
      </c>
      <c r="F18" t="s">
        <v>53</v>
      </c>
      <c r="G18" t="s">
        <v>388</v>
      </c>
      <c r="H18" t="s">
        <v>67</v>
      </c>
      <c r="I18">
        <v>50000</v>
      </c>
      <c r="J18" t="s">
        <v>396</v>
      </c>
      <c r="K18" t="s">
        <v>73</v>
      </c>
      <c r="L18">
        <v>1</v>
      </c>
      <c r="M18" t="s">
        <v>409</v>
      </c>
      <c r="N18" t="s">
        <v>84</v>
      </c>
      <c r="O18" t="s">
        <v>415</v>
      </c>
      <c r="P18" t="s">
        <v>88</v>
      </c>
    </row>
    <row r="19" spans="1:16" x14ac:dyDescent="0.35">
      <c r="A19" t="s">
        <v>4</v>
      </c>
      <c r="B19" t="s">
        <v>18</v>
      </c>
      <c r="C19" t="s">
        <v>42</v>
      </c>
      <c r="D19" t="s">
        <v>363</v>
      </c>
      <c r="E19" t="s">
        <v>373</v>
      </c>
      <c r="F19" t="s">
        <v>54</v>
      </c>
      <c r="G19" t="s">
        <v>388</v>
      </c>
      <c r="H19" t="s">
        <v>67</v>
      </c>
      <c r="I19">
        <v>250000</v>
      </c>
      <c r="J19" t="s">
        <v>397</v>
      </c>
      <c r="K19" t="s">
        <v>74</v>
      </c>
      <c r="L19">
        <v>2</v>
      </c>
      <c r="M19" t="s">
        <v>409</v>
      </c>
      <c r="N19" t="s">
        <v>84</v>
      </c>
      <c r="O19" t="s">
        <v>415</v>
      </c>
      <c r="P19" t="s">
        <v>88</v>
      </c>
    </row>
    <row r="20" spans="1:16" x14ac:dyDescent="0.35">
      <c r="A20" t="s">
        <v>4</v>
      </c>
      <c r="B20" t="s">
        <v>19</v>
      </c>
      <c r="C20" t="s">
        <v>43</v>
      </c>
      <c r="D20" t="s">
        <v>258</v>
      </c>
      <c r="E20" t="s">
        <v>373</v>
      </c>
      <c r="F20" t="s">
        <v>54</v>
      </c>
      <c r="G20" t="s">
        <v>388</v>
      </c>
      <c r="H20" t="s">
        <v>67</v>
      </c>
      <c r="I20">
        <v>250000</v>
      </c>
      <c r="J20" t="s">
        <v>397</v>
      </c>
      <c r="K20" t="s">
        <v>74</v>
      </c>
      <c r="L20">
        <v>2</v>
      </c>
      <c r="M20" t="s">
        <v>409</v>
      </c>
      <c r="N20" t="s">
        <v>84</v>
      </c>
      <c r="O20" t="s">
        <v>415</v>
      </c>
      <c r="P20" t="s">
        <v>88</v>
      </c>
    </row>
    <row r="21" spans="1:16" x14ac:dyDescent="0.35">
      <c r="A21" t="s">
        <v>4</v>
      </c>
      <c r="B21" t="s">
        <v>20</v>
      </c>
      <c r="C21" t="s">
        <v>44</v>
      </c>
      <c r="D21" t="s">
        <v>259</v>
      </c>
      <c r="E21" t="s">
        <v>373</v>
      </c>
      <c r="F21" t="s">
        <v>54</v>
      </c>
      <c r="G21" t="s">
        <v>388</v>
      </c>
      <c r="H21" t="s">
        <v>67</v>
      </c>
      <c r="I21">
        <v>150000</v>
      </c>
      <c r="J21" t="s">
        <v>397</v>
      </c>
      <c r="K21" t="s">
        <v>74</v>
      </c>
      <c r="L21">
        <v>2</v>
      </c>
      <c r="M21" t="s">
        <v>409</v>
      </c>
      <c r="N21" t="s">
        <v>84</v>
      </c>
      <c r="O21" t="s">
        <v>415</v>
      </c>
      <c r="P21" t="s">
        <v>88</v>
      </c>
    </row>
    <row r="22" spans="1:16" x14ac:dyDescent="0.35">
      <c r="A22" t="s">
        <v>4</v>
      </c>
      <c r="B22" t="s">
        <v>21</v>
      </c>
      <c r="C22" t="s">
        <v>45</v>
      </c>
      <c r="D22" t="s">
        <v>293</v>
      </c>
      <c r="E22" t="s">
        <v>373</v>
      </c>
      <c r="F22" t="s">
        <v>54</v>
      </c>
      <c r="G22" t="s">
        <v>388</v>
      </c>
      <c r="H22" t="s">
        <v>67</v>
      </c>
      <c r="I22">
        <v>150000</v>
      </c>
      <c r="J22" t="s">
        <v>397</v>
      </c>
      <c r="K22" t="s">
        <v>74</v>
      </c>
      <c r="L22">
        <v>2</v>
      </c>
      <c r="M22" t="s">
        <v>409</v>
      </c>
      <c r="N22" t="s">
        <v>84</v>
      </c>
      <c r="O22" t="s">
        <v>415</v>
      </c>
      <c r="P22" t="s">
        <v>88</v>
      </c>
    </row>
    <row r="23" spans="1:16" x14ac:dyDescent="0.35">
      <c r="A23" t="s">
        <v>4</v>
      </c>
      <c r="B23" t="s">
        <v>22</v>
      </c>
      <c r="C23" t="s">
        <v>46</v>
      </c>
      <c r="D23" t="s">
        <v>294</v>
      </c>
      <c r="E23" t="s">
        <v>374</v>
      </c>
      <c r="F23" t="s">
        <v>55</v>
      </c>
      <c r="G23" t="s">
        <v>387</v>
      </c>
      <c r="H23" t="s">
        <v>66</v>
      </c>
      <c r="I23" t="s">
        <v>354</v>
      </c>
      <c r="J23" t="s">
        <v>398</v>
      </c>
      <c r="K23" t="s">
        <v>75</v>
      </c>
      <c r="L23">
        <v>3</v>
      </c>
      <c r="M23" t="s">
        <v>408</v>
      </c>
      <c r="N23" t="s">
        <v>83</v>
      </c>
      <c r="O23" t="s">
        <v>416</v>
      </c>
      <c r="P23" t="s">
        <v>89</v>
      </c>
    </row>
    <row r="24" spans="1:16" x14ac:dyDescent="0.35">
      <c r="A24" t="s">
        <v>4</v>
      </c>
      <c r="B24" t="s">
        <v>23</v>
      </c>
      <c r="C24" t="s">
        <v>365</v>
      </c>
      <c r="D24" t="s">
        <v>23</v>
      </c>
      <c r="E24" t="s">
        <v>375</v>
      </c>
      <c r="F24" t="s">
        <v>56</v>
      </c>
      <c r="G24" t="s">
        <v>389</v>
      </c>
      <c r="H24" t="s">
        <v>68</v>
      </c>
      <c r="I24">
        <v>1.5</v>
      </c>
      <c r="J24" t="s">
        <v>399</v>
      </c>
      <c r="K24" t="s">
        <v>76</v>
      </c>
      <c r="L24">
        <v>3</v>
      </c>
      <c r="M24" t="s">
        <v>408</v>
      </c>
      <c r="N24" t="s">
        <v>83</v>
      </c>
      <c r="O24" t="s">
        <v>416</v>
      </c>
      <c r="P24" t="s">
        <v>89</v>
      </c>
    </row>
    <row r="25" spans="1:16" x14ac:dyDescent="0.35">
      <c r="A25" t="s">
        <v>4</v>
      </c>
      <c r="B25" t="s">
        <v>23</v>
      </c>
      <c r="C25" t="s">
        <v>365</v>
      </c>
      <c r="D25" t="s">
        <v>23</v>
      </c>
      <c r="E25" t="s">
        <v>376</v>
      </c>
      <c r="F25" t="s">
        <v>57</v>
      </c>
      <c r="G25" t="s">
        <v>389</v>
      </c>
      <c r="H25" t="s">
        <v>68</v>
      </c>
      <c r="I25">
        <v>3</v>
      </c>
      <c r="J25" t="s">
        <v>400</v>
      </c>
      <c r="K25" t="s">
        <v>77</v>
      </c>
      <c r="L25">
        <v>4</v>
      </c>
      <c r="M25" t="s">
        <v>410</v>
      </c>
      <c r="N25" t="s">
        <v>85</v>
      </c>
      <c r="O25" t="s">
        <v>416</v>
      </c>
      <c r="P25" t="s">
        <v>89</v>
      </c>
    </row>
    <row r="26" spans="1:16" x14ac:dyDescent="0.35">
      <c r="A26" t="s">
        <v>4</v>
      </c>
      <c r="B26" t="s">
        <v>23</v>
      </c>
      <c r="C26" t="s">
        <v>365</v>
      </c>
      <c r="D26" t="s">
        <v>23</v>
      </c>
      <c r="E26" t="s">
        <v>377</v>
      </c>
      <c r="F26" t="s">
        <v>58</v>
      </c>
      <c r="G26" t="s">
        <v>391</v>
      </c>
      <c r="H26" t="s">
        <v>69</v>
      </c>
      <c r="I26">
        <v>0.1</v>
      </c>
      <c r="J26" t="s">
        <v>401</v>
      </c>
      <c r="K26" t="s">
        <v>78</v>
      </c>
      <c r="L26">
        <v>4</v>
      </c>
      <c r="M26" t="s">
        <v>407</v>
      </c>
      <c r="N26" t="s">
        <v>82</v>
      </c>
      <c r="O26" t="s">
        <v>416</v>
      </c>
      <c r="P26" t="s">
        <v>89</v>
      </c>
    </row>
    <row r="27" spans="1:16" x14ac:dyDescent="0.35">
      <c r="A27" t="s">
        <v>4</v>
      </c>
      <c r="B27" t="s">
        <v>23</v>
      </c>
      <c r="C27" t="s">
        <v>365</v>
      </c>
      <c r="D27" t="s">
        <v>23</v>
      </c>
      <c r="E27" t="s">
        <v>378</v>
      </c>
      <c r="F27" t="s">
        <v>59</v>
      </c>
      <c r="G27" t="s">
        <v>391</v>
      </c>
      <c r="H27" t="s">
        <v>69</v>
      </c>
      <c r="I27" t="s">
        <v>352</v>
      </c>
      <c r="J27" t="s">
        <v>402</v>
      </c>
      <c r="K27" t="s">
        <v>79</v>
      </c>
      <c r="L27">
        <v>4</v>
      </c>
      <c r="M27" t="s">
        <v>411</v>
      </c>
      <c r="N27" t="s">
        <v>86</v>
      </c>
      <c r="O27" t="s">
        <v>416</v>
      </c>
      <c r="P27" t="s">
        <v>89</v>
      </c>
    </row>
    <row r="28" spans="1:16" x14ac:dyDescent="0.35">
      <c r="A28" t="s">
        <v>4</v>
      </c>
      <c r="B28" t="s">
        <v>19</v>
      </c>
      <c r="C28" t="s">
        <v>43</v>
      </c>
      <c r="D28" t="s">
        <v>246</v>
      </c>
      <c r="E28" t="s">
        <v>379</v>
      </c>
      <c r="F28" t="s">
        <v>60</v>
      </c>
      <c r="G28" t="s">
        <v>388</v>
      </c>
      <c r="H28" t="s">
        <v>67</v>
      </c>
      <c r="I28">
        <v>200000</v>
      </c>
      <c r="J28" t="s">
        <v>394</v>
      </c>
      <c r="K28" t="s">
        <v>71</v>
      </c>
      <c r="L28">
        <v>5</v>
      </c>
      <c r="M28" t="s">
        <v>411</v>
      </c>
      <c r="N28" t="s">
        <v>86</v>
      </c>
      <c r="O28" t="s">
        <v>417</v>
      </c>
      <c r="P28" t="s">
        <v>90</v>
      </c>
    </row>
    <row r="29" spans="1:16" x14ac:dyDescent="0.35">
      <c r="A29" t="s">
        <v>4</v>
      </c>
      <c r="B29" t="s">
        <v>19</v>
      </c>
      <c r="C29" t="s">
        <v>43</v>
      </c>
      <c r="D29" t="s">
        <v>246</v>
      </c>
      <c r="E29" t="s">
        <v>380</v>
      </c>
      <c r="F29" t="s">
        <v>61</v>
      </c>
      <c r="G29" t="s">
        <v>388</v>
      </c>
      <c r="H29" t="s">
        <v>67</v>
      </c>
      <c r="I29" t="s">
        <v>351</v>
      </c>
      <c r="J29" t="s">
        <v>404</v>
      </c>
      <c r="K29" t="s">
        <v>81</v>
      </c>
      <c r="L29">
        <v>5</v>
      </c>
      <c r="M29" t="s">
        <v>411</v>
      </c>
      <c r="N29" t="s">
        <v>86</v>
      </c>
      <c r="O29" t="s">
        <v>417</v>
      </c>
      <c r="P29" t="s">
        <v>90</v>
      </c>
    </row>
    <row r="30" spans="1:16" x14ac:dyDescent="0.35">
      <c r="A30" t="s">
        <v>4</v>
      </c>
      <c r="B30" t="s">
        <v>24</v>
      </c>
      <c r="C30" t="s">
        <v>366</v>
      </c>
      <c r="D30" t="s">
        <v>25</v>
      </c>
      <c r="E30" t="s">
        <v>381</v>
      </c>
      <c r="F30" t="s">
        <v>62</v>
      </c>
      <c r="G30" t="s">
        <v>388</v>
      </c>
      <c r="H30" t="s">
        <v>67</v>
      </c>
      <c r="I30">
        <v>50000</v>
      </c>
      <c r="J30" t="s">
        <v>394</v>
      </c>
      <c r="K30" t="s">
        <v>71</v>
      </c>
      <c r="L30">
        <v>5</v>
      </c>
      <c r="M30" t="s">
        <v>411</v>
      </c>
      <c r="N30" t="s">
        <v>86</v>
      </c>
      <c r="O30" t="s">
        <v>417</v>
      </c>
      <c r="P30" t="s">
        <v>90</v>
      </c>
    </row>
    <row r="31" spans="1:16" x14ac:dyDescent="0.35">
      <c r="A31" t="s">
        <v>4</v>
      </c>
      <c r="B31" t="s">
        <v>24</v>
      </c>
      <c r="C31" t="s">
        <v>366</v>
      </c>
      <c r="D31" t="s">
        <v>25</v>
      </c>
      <c r="E31" t="s">
        <v>382</v>
      </c>
      <c r="F31" t="s">
        <v>63</v>
      </c>
      <c r="G31" t="s">
        <v>388</v>
      </c>
      <c r="H31" t="s">
        <v>67</v>
      </c>
      <c r="I31" t="s">
        <v>353</v>
      </c>
      <c r="J31" t="s">
        <v>394</v>
      </c>
      <c r="K31" t="s">
        <v>71</v>
      </c>
      <c r="L31">
        <v>5</v>
      </c>
      <c r="M31" t="s">
        <v>411</v>
      </c>
      <c r="N31" t="s">
        <v>86</v>
      </c>
      <c r="O31" t="s">
        <v>417</v>
      </c>
      <c r="P31" t="s">
        <v>90</v>
      </c>
    </row>
    <row r="32" spans="1:16" x14ac:dyDescent="0.35">
      <c r="A32" t="s">
        <v>4</v>
      </c>
      <c r="B32" t="s">
        <v>24</v>
      </c>
      <c r="C32" t="s">
        <v>366</v>
      </c>
      <c r="D32" t="s">
        <v>25</v>
      </c>
      <c r="E32" t="s">
        <v>380</v>
      </c>
      <c r="F32" t="s">
        <v>61</v>
      </c>
      <c r="G32" t="s">
        <v>388</v>
      </c>
      <c r="H32" t="s">
        <v>67</v>
      </c>
      <c r="I32" t="s">
        <v>351</v>
      </c>
      <c r="J32" t="s">
        <v>404</v>
      </c>
      <c r="K32" t="s">
        <v>81</v>
      </c>
      <c r="L32">
        <v>5</v>
      </c>
      <c r="M32" t="s">
        <v>412</v>
      </c>
      <c r="N32" t="s">
        <v>87</v>
      </c>
      <c r="O32" t="s">
        <v>417</v>
      </c>
      <c r="P32" t="s">
        <v>90</v>
      </c>
    </row>
    <row r="33" spans="1:16" x14ac:dyDescent="0.35">
      <c r="A33" t="s">
        <v>4</v>
      </c>
      <c r="B33" t="s">
        <v>26</v>
      </c>
      <c r="C33" t="s">
        <v>47</v>
      </c>
      <c r="D33" t="s">
        <v>340</v>
      </c>
      <c r="E33" t="s">
        <v>383</v>
      </c>
      <c r="F33" t="s">
        <v>64</v>
      </c>
      <c r="G33" t="s">
        <v>388</v>
      </c>
      <c r="H33" t="s">
        <v>67</v>
      </c>
      <c r="I33">
        <v>50000</v>
      </c>
      <c r="J33" t="s">
        <v>394</v>
      </c>
      <c r="K33" t="s">
        <v>71</v>
      </c>
      <c r="L33">
        <v>5</v>
      </c>
      <c r="M33" t="s">
        <v>411</v>
      </c>
      <c r="N33" t="s">
        <v>86</v>
      </c>
      <c r="O33" t="s">
        <v>417</v>
      </c>
      <c r="P33" t="s">
        <v>90</v>
      </c>
    </row>
    <row r="34" spans="1:16" x14ac:dyDescent="0.35">
      <c r="A34" t="s">
        <v>4</v>
      </c>
      <c r="B34" t="s">
        <v>27</v>
      </c>
      <c r="C34" t="s">
        <v>48</v>
      </c>
      <c r="D34" t="s">
        <v>341</v>
      </c>
      <c r="E34" t="s">
        <v>383</v>
      </c>
      <c r="F34" t="s">
        <v>64</v>
      </c>
      <c r="G34" t="s">
        <v>388</v>
      </c>
      <c r="H34" t="s">
        <v>67</v>
      </c>
      <c r="I34">
        <v>50000</v>
      </c>
      <c r="J34" t="s">
        <v>394</v>
      </c>
      <c r="K34" t="s">
        <v>71</v>
      </c>
      <c r="L34">
        <v>5</v>
      </c>
      <c r="M34" t="s">
        <v>411</v>
      </c>
      <c r="N34" t="s">
        <v>86</v>
      </c>
      <c r="O34" t="s">
        <v>417</v>
      </c>
      <c r="P34" t="s">
        <v>90</v>
      </c>
    </row>
    <row r="35" spans="1:16" x14ac:dyDescent="0.35">
      <c r="A35" t="s">
        <v>4</v>
      </c>
      <c r="B35" t="s">
        <v>28</v>
      </c>
      <c r="C35" t="s">
        <v>49</v>
      </c>
      <c r="D35" t="s">
        <v>364</v>
      </c>
      <c r="E35" t="s">
        <v>384</v>
      </c>
      <c r="F35" t="s">
        <v>65</v>
      </c>
      <c r="G35" t="s">
        <v>388</v>
      </c>
      <c r="H35" t="s">
        <v>67</v>
      </c>
      <c r="I35">
        <v>600000</v>
      </c>
      <c r="J35" t="s">
        <v>394</v>
      </c>
      <c r="K35" t="s">
        <v>71</v>
      </c>
      <c r="L35">
        <v>5</v>
      </c>
      <c r="M35" t="s">
        <v>411</v>
      </c>
      <c r="N35" t="s">
        <v>86</v>
      </c>
      <c r="O35" t="s">
        <v>417</v>
      </c>
      <c r="P35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" sqref="E1:F1"/>
    </sheetView>
  </sheetViews>
  <sheetFormatPr defaultRowHeight="14.5" x14ac:dyDescent="0.35"/>
  <cols>
    <col min="1" max="1" width="6.453125" bestFit="1" customWidth="1"/>
    <col min="2" max="2" width="26.90625" bestFit="1" customWidth="1"/>
    <col min="3" max="3" width="54.36328125" bestFit="1" customWidth="1"/>
    <col min="4" max="5" width="54.36328125" customWidth="1"/>
    <col min="6" max="6" width="64" bestFit="1" customWidth="1"/>
    <col min="7" max="7" width="18.26953125" bestFit="1" customWidth="1"/>
    <col min="8" max="8" width="21.54296875" customWidth="1"/>
    <col min="9" max="9" width="17.90625" bestFit="1" customWidth="1"/>
    <col min="10" max="11" width="48.1796875" customWidth="1"/>
    <col min="12" max="12" width="8.1796875" bestFit="1" customWidth="1"/>
    <col min="13" max="13" width="27.36328125" customWidth="1"/>
    <col min="14" max="14" width="33.08984375" bestFit="1" customWidth="1"/>
    <col min="15" max="15" width="33.08984375" customWidth="1"/>
    <col min="16" max="16" width="48.1796875" bestFit="1" customWidth="1"/>
  </cols>
  <sheetData>
    <row r="1" spans="1:16" x14ac:dyDescent="0.35">
      <c r="A1" s="1" t="s">
        <v>0</v>
      </c>
      <c r="B1" s="1" t="s">
        <v>1</v>
      </c>
      <c r="C1" s="1" t="s">
        <v>355</v>
      </c>
      <c r="D1" s="1" t="s">
        <v>367</v>
      </c>
      <c r="E1" s="1" t="s">
        <v>386</v>
      </c>
      <c r="F1" s="1" t="s">
        <v>385</v>
      </c>
      <c r="G1" s="1" t="s">
        <v>466</v>
      </c>
      <c r="H1" s="1" t="s">
        <v>392</v>
      </c>
      <c r="I1" s="1" t="s">
        <v>2</v>
      </c>
      <c r="J1" s="1" t="s">
        <v>405</v>
      </c>
      <c r="K1" s="1" t="s">
        <v>406</v>
      </c>
      <c r="L1" s="1" t="s">
        <v>3</v>
      </c>
      <c r="M1" s="1" t="s">
        <v>413</v>
      </c>
      <c r="N1" s="1" t="s">
        <v>414</v>
      </c>
      <c r="O1" s="1" t="s">
        <v>418</v>
      </c>
      <c r="P1" s="1" t="s">
        <v>419</v>
      </c>
    </row>
    <row r="2" spans="1:16" x14ac:dyDescent="0.35">
      <c r="A2" t="s">
        <v>91</v>
      </c>
      <c r="B2" t="s">
        <v>5</v>
      </c>
      <c r="C2" t="s">
        <v>109</v>
      </c>
      <c r="D2" t="s">
        <v>420</v>
      </c>
      <c r="E2" t="str">
        <f>CLEAN(TRIM(F2))</f>
        <v>Is Service at home</v>
      </c>
      <c r="F2" t="s">
        <v>131</v>
      </c>
      <c r="G2" t="s">
        <v>388</v>
      </c>
      <c r="H2" t="s">
        <v>67</v>
      </c>
      <c r="I2">
        <v>50000</v>
      </c>
      <c r="J2" t="s">
        <v>443</v>
      </c>
      <c r="K2" t="s">
        <v>141</v>
      </c>
      <c r="L2">
        <v>1</v>
      </c>
      <c r="M2" t="s">
        <v>408</v>
      </c>
      <c r="N2" t="s">
        <v>83</v>
      </c>
      <c r="O2" t="s">
        <v>455</v>
      </c>
      <c r="P2" t="s">
        <v>151</v>
      </c>
    </row>
    <row r="3" spans="1:16" x14ac:dyDescent="0.35">
      <c r="A3" t="s">
        <v>91</v>
      </c>
      <c r="B3" t="s">
        <v>6</v>
      </c>
      <c r="C3" t="s">
        <v>110</v>
      </c>
      <c r="D3" t="s">
        <v>421</v>
      </c>
      <c r="E3" t="str">
        <f t="shared" ref="E3:E38" si="0">CLEAN(TRIM(F3))</f>
        <v>Is Service at home</v>
      </c>
      <c r="F3" t="s">
        <v>131</v>
      </c>
      <c r="G3" t="s">
        <v>388</v>
      </c>
      <c r="H3" t="s">
        <v>67</v>
      </c>
      <c r="I3">
        <v>50000</v>
      </c>
      <c r="J3" t="s">
        <v>443</v>
      </c>
      <c r="K3" t="s">
        <v>141</v>
      </c>
      <c r="L3">
        <v>1</v>
      </c>
      <c r="M3" t="s">
        <v>408</v>
      </c>
      <c r="N3" t="s">
        <v>83</v>
      </c>
      <c r="O3" t="s">
        <v>455</v>
      </c>
      <c r="P3" t="s">
        <v>151</v>
      </c>
    </row>
    <row r="4" spans="1:16" x14ac:dyDescent="0.35">
      <c r="A4" t="s">
        <v>91</v>
      </c>
      <c r="B4" t="s">
        <v>7</v>
      </c>
      <c r="C4" t="s">
        <v>111</v>
      </c>
      <c r="D4" t="s">
        <v>422</v>
      </c>
      <c r="E4" t="str">
        <f t="shared" si="0"/>
        <v>Is Service at home</v>
      </c>
      <c r="F4" t="s">
        <v>131</v>
      </c>
      <c r="G4" t="s">
        <v>388</v>
      </c>
      <c r="H4" t="s">
        <v>67</v>
      </c>
      <c r="I4">
        <v>80000</v>
      </c>
      <c r="J4" t="s">
        <v>443</v>
      </c>
      <c r="K4" t="s">
        <v>141</v>
      </c>
      <c r="L4">
        <v>1</v>
      </c>
      <c r="M4" t="s">
        <v>408</v>
      </c>
      <c r="N4" t="s">
        <v>83</v>
      </c>
      <c r="O4" t="s">
        <v>455</v>
      </c>
      <c r="P4" t="s">
        <v>151</v>
      </c>
    </row>
    <row r="5" spans="1:16" x14ac:dyDescent="0.35">
      <c r="A5" t="s">
        <v>91</v>
      </c>
      <c r="B5" t="s">
        <v>92</v>
      </c>
      <c r="C5" t="s">
        <v>33</v>
      </c>
      <c r="D5" t="s">
        <v>358</v>
      </c>
      <c r="E5" t="str">
        <f t="shared" si="0"/>
        <v>Is Service at home</v>
      </c>
      <c r="F5" t="s">
        <v>131</v>
      </c>
      <c r="G5" t="s">
        <v>388</v>
      </c>
      <c r="H5" t="s">
        <v>67</v>
      </c>
      <c r="I5">
        <v>80000</v>
      </c>
      <c r="J5" t="s">
        <v>443</v>
      </c>
      <c r="K5" t="s">
        <v>141</v>
      </c>
      <c r="L5">
        <v>1</v>
      </c>
      <c r="M5" t="s">
        <v>408</v>
      </c>
      <c r="N5" t="s">
        <v>83</v>
      </c>
      <c r="O5" t="s">
        <v>455</v>
      </c>
      <c r="P5" t="s">
        <v>151</v>
      </c>
    </row>
    <row r="6" spans="1:16" x14ac:dyDescent="0.35">
      <c r="A6" t="s">
        <v>91</v>
      </c>
      <c r="B6" t="s">
        <v>10</v>
      </c>
      <c r="C6" t="s">
        <v>112</v>
      </c>
      <c r="D6" t="s">
        <v>313</v>
      </c>
      <c r="E6" t="str">
        <f t="shared" si="0"/>
        <v>Is Service at home</v>
      </c>
      <c r="F6" t="s">
        <v>131</v>
      </c>
      <c r="G6" t="s">
        <v>388</v>
      </c>
      <c r="H6" t="s">
        <v>67</v>
      </c>
      <c r="I6">
        <v>80000</v>
      </c>
      <c r="J6" t="s">
        <v>443</v>
      </c>
      <c r="K6" t="s">
        <v>141</v>
      </c>
      <c r="L6">
        <v>1</v>
      </c>
      <c r="M6" t="s">
        <v>408</v>
      </c>
      <c r="N6" t="s">
        <v>83</v>
      </c>
      <c r="O6" t="s">
        <v>455</v>
      </c>
      <c r="P6" t="s">
        <v>151</v>
      </c>
    </row>
    <row r="7" spans="1:16" x14ac:dyDescent="0.35">
      <c r="A7" t="s">
        <v>91</v>
      </c>
      <c r="B7" t="s">
        <v>93</v>
      </c>
      <c r="C7" t="s">
        <v>113</v>
      </c>
      <c r="D7" t="s">
        <v>314</v>
      </c>
      <c r="E7" t="str">
        <f t="shared" si="0"/>
        <v>Is Service at home</v>
      </c>
      <c r="F7" t="s">
        <v>131</v>
      </c>
      <c r="G7" t="s">
        <v>388</v>
      </c>
      <c r="H7" t="s">
        <v>67</v>
      </c>
      <c r="I7">
        <v>80000</v>
      </c>
      <c r="J7" t="s">
        <v>443</v>
      </c>
      <c r="K7" t="s">
        <v>141</v>
      </c>
      <c r="L7">
        <v>1</v>
      </c>
      <c r="M7" t="s">
        <v>408</v>
      </c>
      <c r="N7" t="s">
        <v>83</v>
      </c>
      <c r="O7" t="s">
        <v>455</v>
      </c>
      <c r="P7" t="s">
        <v>151</v>
      </c>
    </row>
    <row r="8" spans="1:16" x14ac:dyDescent="0.35">
      <c r="A8" t="s">
        <v>91</v>
      </c>
      <c r="B8" t="s">
        <v>13</v>
      </c>
      <c r="C8" t="s">
        <v>114</v>
      </c>
      <c r="D8" t="s">
        <v>315</v>
      </c>
      <c r="E8" t="str">
        <f t="shared" si="0"/>
        <v>Is Service at home</v>
      </c>
      <c r="F8" t="s">
        <v>131</v>
      </c>
      <c r="G8" t="s">
        <v>388</v>
      </c>
      <c r="H8" t="s">
        <v>67</v>
      </c>
      <c r="I8">
        <v>100000</v>
      </c>
      <c r="J8" t="s">
        <v>443</v>
      </c>
      <c r="K8" t="s">
        <v>141</v>
      </c>
      <c r="L8">
        <v>1</v>
      </c>
      <c r="M8" t="s">
        <v>408</v>
      </c>
      <c r="N8" t="s">
        <v>83</v>
      </c>
      <c r="O8" t="s">
        <v>455</v>
      </c>
      <c r="P8" t="s">
        <v>151</v>
      </c>
    </row>
    <row r="9" spans="1:16" x14ac:dyDescent="0.35">
      <c r="A9" t="s">
        <v>91</v>
      </c>
      <c r="B9" t="s">
        <v>94</v>
      </c>
      <c r="C9" t="s">
        <v>37</v>
      </c>
      <c r="D9" t="s">
        <v>316</v>
      </c>
      <c r="E9" t="str">
        <f t="shared" si="0"/>
        <v>Is Service at home</v>
      </c>
      <c r="F9" t="s">
        <v>131</v>
      </c>
      <c r="G9" t="s">
        <v>388</v>
      </c>
      <c r="H9" t="s">
        <v>67</v>
      </c>
      <c r="I9">
        <v>100000</v>
      </c>
      <c r="J9" t="s">
        <v>443</v>
      </c>
      <c r="K9" t="s">
        <v>141</v>
      </c>
      <c r="L9">
        <v>1</v>
      </c>
      <c r="M9" t="s">
        <v>408</v>
      </c>
      <c r="N9" t="s">
        <v>83</v>
      </c>
      <c r="O9" t="s">
        <v>455</v>
      </c>
      <c r="P9" t="s">
        <v>151</v>
      </c>
    </row>
    <row r="10" spans="1:16" x14ac:dyDescent="0.35">
      <c r="A10" t="s">
        <v>91</v>
      </c>
      <c r="B10" t="s">
        <v>95</v>
      </c>
      <c r="C10" t="s">
        <v>38</v>
      </c>
      <c r="D10" t="s">
        <v>317</v>
      </c>
      <c r="E10" t="str">
        <f t="shared" si="0"/>
        <v>Is Service at home</v>
      </c>
      <c r="F10" t="s">
        <v>131</v>
      </c>
      <c r="G10" t="s">
        <v>388</v>
      </c>
      <c r="H10" t="s">
        <v>67</v>
      </c>
      <c r="I10">
        <v>100000</v>
      </c>
      <c r="J10" t="s">
        <v>443</v>
      </c>
      <c r="K10" t="s">
        <v>141</v>
      </c>
      <c r="L10">
        <v>1</v>
      </c>
      <c r="M10" t="s">
        <v>408</v>
      </c>
      <c r="N10" t="s">
        <v>83</v>
      </c>
      <c r="O10" t="s">
        <v>455</v>
      </c>
      <c r="P10" t="s">
        <v>151</v>
      </c>
    </row>
    <row r="11" spans="1:16" x14ac:dyDescent="0.35">
      <c r="A11" t="s">
        <v>91</v>
      </c>
      <c r="B11" t="s">
        <v>17</v>
      </c>
      <c r="C11" t="s">
        <v>115</v>
      </c>
      <c r="D11" t="s">
        <v>318</v>
      </c>
      <c r="E11" t="str">
        <f t="shared" si="0"/>
        <v>Is Service at home</v>
      </c>
      <c r="F11" t="s">
        <v>131</v>
      </c>
      <c r="G11" t="s">
        <v>388</v>
      </c>
      <c r="H11" t="s">
        <v>67</v>
      </c>
      <c r="I11">
        <v>50000</v>
      </c>
      <c r="J11" t="s">
        <v>443</v>
      </c>
      <c r="K11" t="s">
        <v>141</v>
      </c>
      <c r="L11">
        <v>1</v>
      </c>
      <c r="M11" t="s">
        <v>458</v>
      </c>
      <c r="N11" t="s">
        <v>148</v>
      </c>
      <c r="O11" t="s">
        <v>455</v>
      </c>
      <c r="P11" t="s">
        <v>151</v>
      </c>
    </row>
    <row r="12" spans="1:16" x14ac:dyDescent="0.35">
      <c r="A12" t="s">
        <v>91</v>
      </c>
      <c r="B12" t="s">
        <v>96</v>
      </c>
      <c r="C12" t="s">
        <v>116</v>
      </c>
      <c r="D12" t="s">
        <v>319</v>
      </c>
      <c r="E12" t="str">
        <f t="shared" si="0"/>
        <v>Is Service at home</v>
      </c>
      <c r="F12" t="s">
        <v>131</v>
      </c>
      <c r="G12" t="s">
        <v>388</v>
      </c>
      <c r="H12" t="s">
        <v>67</v>
      </c>
      <c r="I12">
        <v>10000</v>
      </c>
      <c r="J12" t="s">
        <v>443</v>
      </c>
      <c r="K12" t="s">
        <v>141</v>
      </c>
      <c r="L12">
        <v>1</v>
      </c>
      <c r="M12" t="s">
        <v>458</v>
      </c>
      <c r="N12" t="s">
        <v>148</v>
      </c>
      <c r="O12" t="s">
        <v>455</v>
      </c>
      <c r="P12" t="s">
        <v>151</v>
      </c>
    </row>
    <row r="13" spans="1:16" x14ac:dyDescent="0.35">
      <c r="A13" t="s">
        <v>91</v>
      </c>
      <c r="B13" t="s">
        <v>97</v>
      </c>
      <c r="C13" t="s">
        <v>117</v>
      </c>
      <c r="D13" t="s">
        <v>320</v>
      </c>
      <c r="E13" t="str">
        <f t="shared" si="0"/>
        <v>Is Service at home</v>
      </c>
      <c r="F13" t="s">
        <v>131</v>
      </c>
      <c r="G13" t="s">
        <v>388</v>
      </c>
      <c r="H13" t="s">
        <v>67</v>
      </c>
      <c r="I13">
        <v>70000</v>
      </c>
      <c r="J13" t="s">
        <v>443</v>
      </c>
      <c r="K13" t="s">
        <v>141</v>
      </c>
      <c r="L13">
        <v>1</v>
      </c>
      <c r="M13" t="s">
        <v>408</v>
      </c>
      <c r="N13" t="s">
        <v>83</v>
      </c>
      <c r="O13" t="s">
        <v>455</v>
      </c>
      <c r="P13" t="s">
        <v>151</v>
      </c>
    </row>
    <row r="14" spans="1:16" x14ac:dyDescent="0.35">
      <c r="A14" t="s">
        <v>91</v>
      </c>
      <c r="B14" t="s">
        <v>98</v>
      </c>
      <c r="C14" t="s">
        <v>118</v>
      </c>
      <c r="D14" t="s">
        <v>276</v>
      </c>
      <c r="E14" t="str">
        <f t="shared" si="0"/>
        <v>Is Service at home</v>
      </c>
      <c r="F14" t="s">
        <v>131</v>
      </c>
      <c r="G14" t="s">
        <v>388</v>
      </c>
      <c r="H14" t="s">
        <v>67</v>
      </c>
      <c r="I14">
        <v>80000</v>
      </c>
      <c r="J14" t="s">
        <v>443</v>
      </c>
      <c r="K14" t="s">
        <v>141</v>
      </c>
      <c r="L14">
        <v>1</v>
      </c>
      <c r="M14" t="s">
        <v>408</v>
      </c>
      <c r="N14" t="s">
        <v>83</v>
      </c>
      <c r="O14" t="s">
        <v>455</v>
      </c>
      <c r="P14" t="s">
        <v>151</v>
      </c>
    </row>
    <row r="15" spans="1:16" x14ac:dyDescent="0.35">
      <c r="A15" t="s">
        <v>91</v>
      </c>
      <c r="B15" t="s">
        <v>99</v>
      </c>
      <c r="C15" t="s">
        <v>119</v>
      </c>
      <c r="D15" t="s">
        <v>321</v>
      </c>
      <c r="E15" t="str">
        <f t="shared" si="0"/>
        <v>Is Service at home</v>
      </c>
      <c r="F15" t="s">
        <v>131</v>
      </c>
      <c r="G15" t="s">
        <v>388</v>
      </c>
      <c r="H15" t="s">
        <v>67</v>
      </c>
      <c r="I15">
        <v>100000</v>
      </c>
      <c r="J15" t="s">
        <v>443</v>
      </c>
      <c r="K15" t="s">
        <v>141</v>
      </c>
      <c r="L15">
        <v>1</v>
      </c>
      <c r="M15" t="s">
        <v>408</v>
      </c>
      <c r="N15" t="s">
        <v>83</v>
      </c>
      <c r="O15" t="s">
        <v>455</v>
      </c>
      <c r="P15" t="s">
        <v>151</v>
      </c>
    </row>
    <row r="16" spans="1:16" x14ac:dyDescent="0.35">
      <c r="A16" t="s">
        <v>91</v>
      </c>
      <c r="B16" t="s">
        <v>100</v>
      </c>
      <c r="C16" t="s">
        <v>120</v>
      </c>
      <c r="D16" t="s">
        <v>322</v>
      </c>
      <c r="E16" t="str">
        <f t="shared" si="0"/>
        <v>Is Service at home</v>
      </c>
      <c r="F16" t="s">
        <v>131</v>
      </c>
      <c r="G16" t="s">
        <v>388</v>
      </c>
      <c r="H16" t="s">
        <v>67</v>
      </c>
      <c r="I16">
        <v>100000</v>
      </c>
      <c r="J16" t="s">
        <v>443</v>
      </c>
      <c r="K16" t="s">
        <v>141</v>
      </c>
      <c r="L16">
        <v>1</v>
      </c>
      <c r="M16" t="s">
        <v>408</v>
      </c>
      <c r="N16" t="s">
        <v>83</v>
      </c>
      <c r="O16" t="s">
        <v>455</v>
      </c>
      <c r="P16" t="s">
        <v>151</v>
      </c>
    </row>
    <row r="17" spans="1:16" x14ac:dyDescent="0.35">
      <c r="A17" t="s">
        <v>91</v>
      </c>
      <c r="B17" t="s">
        <v>101</v>
      </c>
      <c r="C17" t="s">
        <v>121</v>
      </c>
      <c r="D17" t="s">
        <v>423</v>
      </c>
      <c r="E17" t="str">
        <f t="shared" si="0"/>
        <v>Is Service at home</v>
      </c>
      <c r="F17" t="s">
        <v>131</v>
      </c>
      <c r="G17" t="s">
        <v>388</v>
      </c>
      <c r="H17" t="s">
        <v>67</v>
      </c>
      <c r="I17">
        <v>100000</v>
      </c>
      <c r="J17" t="s">
        <v>443</v>
      </c>
      <c r="K17" t="s">
        <v>141</v>
      </c>
      <c r="L17">
        <v>1</v>
      </c>
      <c r="M17" t="s">
        <v>408</v>
      </c>
      <c r="N17" t="s">
        <v>83</v>
      </c>
      <c r="O17" t="s">
        <v>455</v>
      </c>
      <c r="P17" t="s">
        <v>151</v>
      </c>
    </row>
    <row r="18" spans="1:16" x14ac:dyDescent="0.35">
      <c r="A18" t="s">
        <v>91</v>
      </c>
      <c r="B18" t="s">
        <v>102</v>
      </c>
      <c r="C18" t="s">
        <v>122</v>
      </c>
      <c r="D18" t="s">
        <v>424</v>
      </c>
      <c r="E18" t="str">
        <f t="shared" si="0"/>
        <v>Is Service at home</v>
      </c>
      <c r="F18" t="s">
        <v>131</v>
      </c>
      <c r="G18" t="s">
        <v>388</v>
      </c>
      <c r="H18" t="s">
        <v>67</v>
      </c>
      <c r="I18">
        <v>100000</v>
      </c>
      <c r="J18" t="s">
        <v>443</v>
      </c>
      <c r="K18" t="s">
        <v>141</v>
      </c>
      <c r="L18">
        <v>1</v>
      </c>
      <c r="M18" t="s">
        <v>408</v>
      </c>
      <c r="N18" t="s">
        <v>83</v>
      </c>
      <c r="O18" t="s">
        <v>455</v>
      </c>
      <c r="P18" t="s">
        <v>151</v>
      </c>
    </row>
    <row r="19" spans="1:16" x14ac:dyDescent="0.35">
      <c r="A19" t="s">
        <v>91</v>
      </c>
      <c r="B19" t="s">
        <v>103</v>
      </c>
      <c r="C19" t="s">
        <v>123</v>
      </c>
      <c r="D19" t="s">
        <v>425</v>
      </c>
      <c r="E19" t="str">
        <f t="shared" si="0"/>
        <v>Is Service at home</v>
      </c>
      <c r="F19" t="s">
        <v>131</v>
      </c>
      <c r="G19" t="s">
        <v>388</v>
      </c>
      <c r="H19" t="s">
        <v>67</v>
      </c>
      <c r="I19">
        <v>100000</v>
      </c>
      <c r="J19" t="s">
        <v>443</v>
      </c>
      <c r="K19" t="s">
        <v>141</v>
      </c>
      <c r="L19">
        <v>1</v>
      </c>
      <c r="M19" t="s">
        <v>408</v>
      </c>
      <c r="N19" t="s">
        <v>83</v>
      </c>
      <c r="O19" t="s">
        <v>455</v>
      </c>
      <c r="P19" t="s">
        <v>151</v>
      </c>
    </row>
    <row r="20" spans="1:16" x14ac:dyDescent="0.35">
      <c r="A20" t="s">
        <v>91</v>
      </c>
      <c r="B20" t="s">
        <v>104</v>
      </c>
      <c r="C20" t="s">
        <v>124</v>
      </c>
      <c r="D20" t="s">
        <v>426</v>
      </c>
      <c r="E20" t="str">
        <f t="shared" si="0"/>
        <v>Is Service at home</v>
      </c>
      <c r="F20" t="s">
        <v>131</v>
      </c>
      <c r="G20" t="s">
        <v>388</v>
      </c>
      <c r="H20" t="s">
        <v>67</v>
      </c>
      <c r="I20">
        <v>100000</v>
      </c>
      <c r="J20" t="s">
        <v>443</v>
      </c>
      <c r="K20" t="s">
        <v>141</v>
      </c>
      <c r="L20">
        <v>1</v>
      </c>
      <c r="M20" t="s">
        <v>408</v>
      </c>
      <c r="N20" t="s">
        <v>83</v>
      </c>
      <c r="O20" t="s">
        <v>455</v>
      </c>
      <c r="P20" t="s">
        <v>151</v>
      </c>
    </row>
    <row r="21" spans="1:16" x14ac:dyDescent="0.35">
      <c r="A21" t="s">
        <v>91</v>
      </c>
      <c r="B21" t="s">
        <v>97</v>
      </c>
      <c r="C21" t="s">
        <v>117</v>
      </c>
      <c r="D21" t="s">
        <v>320</v>
      </c>
      <c r="E21" t="str">
        <f t="shared" si="0"/>
        <v>Is Service at home</v>
      </c>
      <c r="F21" t="s">
        <v>131</v>
      </c>
      <c r="G21" t="s">
        <v>388</v>
      </c>
      <c r="H21" t="s">
        <v>67</v>
      </c>
      <c r="I21">
        <v>60000</v>
      </c>
      <c r="J21" t="s">
        <v>443</v>
      </c>
      <c r="K21" t="s">
        <v>141</v>
      </c>
      <c r="L21">
        <v>1</v>
      </c>
      <c r="M21" t="s">
        <v>408</v>
      </c>
      <c r="N21" t="s">
        <v>83</v>
      </c>
      <c r="O21" t="s">
        <v>455</v>
      </c>
      <c r="P21" t="s">
        <v>151</v>
      </c>
    </row>
    <row r="22" spans="1:16" x14ac:dyDescent="0.35">
      <c r="A22" t="s">
        <v>91</v>
      </c>
      <c r="B22" t="s">
        <v>98</v>
      </c>
      <c r="C22" t="s">
        <v>118</v>
      </c>
      <c r="D22" t="s">
        <v>276</v>
      </c>
      <c r="E22" t="str">
        <f t="shared" si="0"/>
        <v>Is Service at home</v>
      </c>
      <c r="F22" t="s">
        <v>131</v>
      </c>
      <c r="G22" t="s">
        <v>388</v>
      </c>
      <c r="H22" t="s">
        <v>67</v>
      </c>
      <c r="I22">
        <v>70000</v>
      </c>
      <c r="J22" t="s">
        <v>443</v>
      </c>
      <c r="K22" t="s">
        <v>141</v>
      </c>
      <c r="L22">
        <v>1</v>
      </c>
      <c r="M22" t="s">
        <v>408</v>
      </c>
      <c r="N22" t="s">
        <v>83</v>
      </c>
      <c r="O22" t="s">
        <v>455</v>
      </c>
      <c r="P22" t="s">
        <v>151</v>
      </c>
    </row>
    <row r="23" spans="1:16" x14ac:dyDescent="0.35">
      <c r="A23" t="s">
        <v>91</v>
      </c>
      <c r="B23" t="s">
        <v>99</v>
      </c>
      <c r="C23" t="s">
        <v>119</v>
      </c>
      <c r="D23" t="s">
        <v>321</v>
      </c>
      <c r="E23" t="str">
        <f t="shared" si="0"/>
        <v>Is Service at home</v>
      </c>
      <c r="F23" t="s">
        <v>131</v>
      </c>
      <c r="G23" t="s">
        <v>388</v>
      </c>
      <c r="H23" t="s">
        <v>67</v>
      </c>
      <c r="I23">
        <v>100000</v>
      </c>
      <c r="J23" t="s">
        <v>443</v>
      </c>
      <c r="K23" t="s">
        <v>141</v>
      </c>
      <c r="L23">
        <v>1</v>
      </c>
      <c r="M23" t="s">
        <v>408</v>
      </c>
      <c r="N23" t="s">
        <v>83</v>
      </c>
      <c r="O23" t="s">
        <v>455</v>
      </c>
      <c r="P23" t="s">
        <v>151</v>
      </c>
    </row>
    <row r="24" spans="1:16" x14ac:dyDescent="0.35">
      <c r="A24" t="s">
        <v>91</v>
      </c>
      <c r="B24" t="s">
        <v>100</v>
      </c>
      <c r="C24" t="s">
        <v>120</v>
      </c>
      <c r="D24" t="s">
        <v>278</v>
      </c>
      <c r="E24" t="str">
        <f t="shared" si="0"/>
        <v>Is Service at home</v>
      </c>
      <c r="F24" t="s">
        <v>131</v>
      </c>
      <c r="G24" t="s">
        <v>388</v>
      </c>
      <c r="H24" t="s">
        <v>67</v>
      </c>
      <c r="I24">
        <v>100000</v>
      </c>
      <c r="J24" t="s">
        <v>443</v>
      </c>
      <c r="K24" t="s">
        <v>141</v>
      </c>
      <c r="L24">
        <v>1</v>
      </c>
      <c r="M24" t="s">
        <v>408</v>
      </c>
      <c r="N24" t="s">
        <v>83</v>
      </c>
      <c r="O24" t="s">
        <v>455</v>
      </c>
      <c r="P24" t="s">
        <v>151</v>
      </c>
    </row>
    <row r="25" spans="1:16" x14ac:dyDescent="0.35">
      <c r="A25" t="s">
        <v>91</v>
      </c>
      <c r="B25" t="s">
        <v>101</v>
      </c>
      <c r="C25" t="s">
        <v>121</v>
      </c>
      <c r="D25" t="s">
        <v>427</v>
      </c>
      <c r="E25" t="str">
        <f t="shared" si="0"/>
        <v>Is Service at home</v>
      </c>
      <c r="F25" t="s">
        <v>131</v>
      </c>
      <c r="G25" t="s">
        <v>388</v>
      </c>
      <c r="H25" t="s">
        <v>67</v>
      </c>
      <c r="I25">
        <v>100000</v>
      </c>
      <c r="J25" t="s">
        <v>443</v>
      </c>
      <c r="K25" t="s">
        <v>141</v>
      </c>
      <c r="L25">
        <v>1</v>
      </c>
      <c r="M25" t="s">
        <v>408</v>
      </c>
      <c r="N25" t="s">
        <v>83</v>
      </c>
      <c r="O25" t="s">
        <v>455</v>
      </c>
      <c r="P25" t="s">
        <v>151</v>
      </c>
    </row>
    <row r="26" spans="1:16" x14ac:dyDescent="0.35">
      <c r="A26" t="s">
        <v>91</v>
      </c>
      <c r="B26" t="s">
        <v>102</v>
      </c>
      <c r="C26" t="s">
        <v>122</v>
      </c>
      <c r="D26" t="s">
        <v>424</v>
      </c>
      <c r="E26" t="str">
        <f t="shared" si="0"/>
        <v>Is Service at home</v>
      </c>
      <c r="F26" t="s">
        <v>131</v>
      </c>
      <c r="G26" t="s">
        <v>388</v>
      </c>
      <c r="H26" t="s">
        <v>67</v>
      </c>
      <c r="I26">
        <v>100000</v>
      </c>
      <c r="J26" t="s">
        <v>443</v>
      </c>
      <c r="K26" t="s">
        <v>141</v>
      </c>
      <c r="L26">
        <v>1</v>
      </c>
      <c r="M26" t="s">
        <v>408</v>
      </c>
      <c r="N26" t="s">
        <v>83</v>
      </c>
      <c r="O26" t="s">
        <v>455</v>
      </c>
      <c r="P26" t="s">
        <v>151</v>
      </c>
    </row>
    <row r="27" spans="1:16" x14ac:dyDescent="0.35">
      <c r="A27" t="s">
        <v>91</v>
      </c>
      <c r="B27" t="s">
        <v>103</v>
      </c>
      <c r="C27" t="s">
        <v>123</v>
      </c>
      <c r="D27" t="s">
        <v>425</v>
      </c>
      <c r="E27" t="str">
        <f t="shared" si="0"/>
        <v>Is Service at home</v>
      </c>
      <c r="F27" t="s">
        <v>131</v>
      </c>
      <c r="G27" t="s">
        <v>388</v>
      </c>
      <c r="H27" t="s">
        <v>67</v>
      </c>
      <c r="I27">
        <v>100000</v>
      </c>
      <c r="J27" t="s">
        <v>443</v>
      </c>
      <c r="K27" t="s">
        <v>141</v>
      </c>
      <c r="L27">
        <v>1</v>
      </c>
      <c r="M27" t="s">
        <v>408</v>
      </c>
      <c r="N27" t="s">
        <v>83</v>
      </c>
      <c r="O27" t="s">
        <v>455</v>
      </c>
      <c r="P27" t="s">
        <v>151</v>
      </c>
    </row>
    <row r="28" spans="1:16" x14ac:dyDescent="0.35">
      <c r="A28" t="s">
        <v>91</v>
      </c>
      <c r="B28" t="s">
        <v>104</v>
      </c>
      <c r="C28" t="s">
        <v>124</v>
      </c>
      <c r="D28" t="s">
        <v>426</v>
      </c>
      <c r="E28" t="str">
        <f t="shared" si="0"/>
        <v>Is Service at home</v>
      </c>
      <c r="F28" t="s">
        <v>131</v>
      </c>
      <c r="G28" t="s">
        <v>388</v>
      </c>
      <c r="H28" t="s">
        <v>67</v>
      </c>
      <c r="I28">
        <v>100000</v>
      </c>
      <c r="J28" t="s">
        <v>443</v>
      </c>
      <c r="K28" t="s">
        <v>141</v>
      </c>
      <c r="L28">
        <v>1</v>
      </c>
      <c r="M28" t="s">
        <v>408</v>
      </c>
      <c r="N28" t="s">
        <v>83</v>
      </c>
      <c r="O28" t="s">
        <v>455</v>
      </c>
      <c r="P28" t="s">
        <v>151</v>
      </c>
    </row>
    <row r="29" spans="1:16" x14ac:dyDescent="0.35">
      <c r="A29" t="s">
        <v>91</v>
      </c>
      <c r="B29" t="s">
        <v>104</v>
      </c>
      <c r="C29" t="s">
        <v>124</v>
      </c>
      <c r="D29" t="s">
        <v>426</v>
      </c>
      <c r="E29" t="str">
        <f t="shared" si="0"/>
        <v>Valid item if Is Service at home AND client receives another service this visit</v>
      </c>
      <c r="F29" t="s">
        <v>132</v>
      </c>
      <c r="G29" t="s">
        <v>387</v>
      </c>
      <c r="H29" t="s">
        <v>66</v>
      </c>
      <c r="I29">
        <v>200000</v>
      </c>
      <c r="J29" t="s">
        <v>444</v>
      </c>
      <c r="K29" t="s">
        <v>142</v>
      </c>
      <c r="L29">
        <v>2</v>
      </c>
      <c r="M29" t="s">
        <v>459</v>
      </c>
      <c r="N29" t="s">
        <v>149</v>
      </c>
      <c r="O29" t="s">
        <v>455</v>
      </c>
      <c r="P29" t="s">
        <v>151</v>
      </c>
    </row>
    <row r="30" spans="1:16" x14ac:dyDescent="0.35">
      <c r="A30" t="s">
        <v>91</v>
      </c>
      <c r="B30" t="s">
        <v>102</v>
      </c>
      <c r="C30" t="s">
        <v>122</v>
      </c>
      <c r="D30" t="s">
        <v>424</v>
      </c>
      <c r="E30" t="str">
        <f t="shared" si="0"/>
        <v>Valid item if Is Service at home AND client receives another service this visit</v>
      </c>
      <c r="F30" t="s">
        <v>132</v>
      </c>
      <c r="G30" t="s">
        <v>387</v>
      </c>
      <c r="H30" t="s">
        <v>66</v>
      </c>
      <c r="I30">
        <v>200000</v>
      </c>
      <c r="J30" t="s">
        <v>444</v>
      </c>
      <c r="K30" t="s">
        <v>142</v>
      </c>
      <c r="L30">
        <v>2</v>
      </c>
      <c r="M30" t="s">
        <v>459</v>
      </c>
      <c r="N30" t="s">
        <v>149</v>
      </c>
      <c r="O30" t="s">
        <v>455</v>
      </c>
      <c r="P30" t="s">
        <v>151</v>
      </c>
    </row>
    <row r="31" spans="1:16" x14ac:dyDescent="0.35">
      <c r="A31" t="s">
        <v>91</v>
      </c>
      <c r="B31" t="s">
        <v>5</v>
      </c>
      <c r="C31" t="s">
        <v>109</v>
      </c>
      <c r="D31" t="s">
        <v>420</v>
      </c>
      <c r="E31" t="str">
        <f t="shared" si="0"/>
        <v>Wounds after the first on same visit</v>
      </c>
      <c r="F31" t="s">
        <v>50</v>
      </c>
      <c r="G31" t="s">
        <v>387</v>
      </c>
      <c r="H31" t="s">
        <v>66</v>
      </c>
      <c r="I31">
        <v>100000</v>
      </c>
      <c r="J31" t="s">
        <v>445</v>
      </c>
      <c r="K31" t="s">
        <v>143</v>
      </c>
      <c r="L31">
        <v>2</v>
      </c>
      <c r="M31" t="s">
        <v>407</v>
      </c>
      <c r="N31" t="s">
        <v>82</v>
      </c>
      <c r="O31" t="s">
        <v>455</v>
      </c>
      <c r="P31" t="s">
        <v>151</v>
      </c>
    </row>
    <row r="32" spans="1:16" x14ac:dyDescent="0.35">
      <c r="A32" t="s">
        <v>91</v>
      </c>
      <c r="B32" t="s">
        <v>6</v>
      </c>
      <c r="C32" t="s">
        <v>110</v>
      </c>
      <c r="D32" t="s">
        <v>421</v>
      </c>
      <c r="E32" t="str">
        <f t="shared" si="0"/>
        <v>Wounds after the first on same visit</v>
      </c>
      <c r="F32" t="s">
        <v>50</v>
      </c>
      <c r="G32" t="s">
        <v>387</v>
      </c>
      <c r="H32" t="s">
        <v>66</v>
      </c>
      <c r="I32">
        <v>150000</v>
      </c>
      <c r="J32" t="s">
        <v>445</v>
      </c>
      <c r="K32" t="s">
        <v>143</v>
      </c>
      <c r="L32">
        <v>2</v>
      </c>
      <c r="M32" t="s">
        <v>407</v>
      </c>
      <c r="N32" t="s">
        <v>82</v>
      </c>
      <c r="O32" t="s">
        <v>455</v>
      </c>
      <c r="P32" t="s">
        <v>151</v>
      </c>
    </row>
    <row r="33" spans="1:16" x14ac:dyDescent="0.35">
      <c r="A33" t="s">
        <v>91</v>
      </c>
      <c r="B33" t="s">
        <v>7</v>
      </c>
      <c r="C33" t="s">
        <v>111</v>
      </c>
      <c r="D33" t="s">
        <v>312</v>
      </c>
      <c r="E33" t="str">
        <f t="shared" si="0"/>
        <v>Wounds after the first on same visit</v>
      </c>
      <c r="F33" t="s">
        <v>50</v>
      </c>
      <c r="G33" t="s">
        <v>387</v>
      </c>
      <c r="H33" t="s">
        <v>66</v>
      </c>
      <c r="I33">
        <v>50000</v>
      </c>
      <c r="J33" t="s">
        <v>445</v>
      </c>
      <c r="K33" t="s">
        <v>143</v>
      </c>
      <c r="L33">
        <v>2</v>
      </c>
      <c r="M33" t="s">
        <v>407</v>
      </c>
      <c r="N33" t="s">
        <v>82</v>
      </c>
      <c r="O33" t="s">
        <v>455</v>
      </c>
      <c r="P33" t="s">
        <v>151</v>
      </c>
    </row>
    <row r="34" spans="1:16" x14ac:dyDescent="0.35">
      <c r="A34" t="s">
        <v>91</v>
      </c>
      <c r="B34" t="s">
        <v>92</v>
      </c>
      <c r="C34" t="s">
        <v>33</v>
      </c>
      <c r="D34" t="s">
        <v>267</v>
      </c>
      <c r="E34" t="str">
        <f t="shared" si="0"/>
        <v>Wounds after the first on same visit</v>
      </c>
      <c r="F34" t="s">
        <v>50</v>
      </c>
      <c r="G34" t="s">
        <v>387</v>
      </c>
      <c r="H34" t="s">
        <v>66</v>
      </c>
      <c r="I34">
        <v>100000</v>
      </c>
      <c r="J34" t="s">
        <v>445</v>
      </c>
      <c r="K34" t="s">
        <v>143</v>
      </c>
      <c r="L34">
        <v>2</v>
      </c>
      <c r="M34" t="s">
        <v>407</v>
      </c>
      <c r="N34" t="s">
        <v>82</v>
      </c>
      <c r="O34" t="s">
        <v>455</v>
      </c>
      <c r="P34" t="s">
        <v>151</v>
      </c>
    </row>
    <row r="35" spans="1:16" x14ac:dyDescent="0.35">
      <c r="A35" t="s">
        <v>91</v>
      </c>
      <c r="B35" t="s">
        <v>10</v>
      </c>
      <c r="C35" t="s">
        <v>112</v>
      </c>
      <c r="D35" t="s">
        <v>313</v>
      </c>
      <c r="E35" t="str">
        <f t="shared" si="0"/>
        <v>Wounds after the first on same visit</v>
      </c>
      <c r="F35" t="s">
        <v>50</v>
      </c>
      <c r="G35" t="s">
        <v>387</v>
      </c>
      <c r="H35" t="s">
        <v>66</v>
      </c>
      <c r="I35">
        <v>50000</v>
      </c>
      <c r="J35" t="s">
        <v>445</v>
      </c>
      <c r="K35" t="s">
        <v>143</v>
      </c>
      <c r="L35">
        <v>2</v>
      </c>
      <c r="M35" t="s">
        <v>407</v>
      </c>
      <c r="N35" t="s">
        <v>82</v>
      </c>
      <c r="O35" t="s">
        <v>455</v>
      </c>
      <c r="P35" t="s">
        <v>151</v>
      </c>
    </row>
    <row r="36" spans="1:16" x14ac:dyDescent="0.35">
      <c r="A36" t="s">
        <v>91</v>
      </c>
      <c r="B36" t="s">
        <v>93</v>
      </c>
      <c r="C36" t="s">
        <v>113</v>
      </c>
      <c r="D36" t="s">
        <v>314</v>
      </c>
      <c r="E36" t="str">
        <f t="shared" si="0"/>
        <v>Wounds after the first on same visit</v>
      </c>
      <c r="F36" t="s">
        <v>50</v>
      </c>
      <c r="G36" t="s">
        <v>387</v>
      </c>
      <c r="H36" t="s">
        <v>66</v>
      </c>
      <c r="I36">
        <v>100000</v>
      </c>
      <c r="J36" t="s">
        <v>445</v>
      </c>
      <c r="K36" t="s">
        <v>143</v>
      </c>
      <c r="L36">
        <v>2</v>
      </c>
      <c r="M36" t="s">
        <v>407</v>
      </c>
      <c r="N36" t="s">
        <v>82</v>
      </c>
      <c r="O36" t="s">
        <v>455</v>
      </c>
      <c r="P36" t="s">
        <v>151</v>
      </c>
    </row>
    <row r="37" spans="1:16" x14ac:dyDescent="0.35">
      <c r="A37" t="s">
        <v>91</v>
      </c>
      <c r="B37" t="s">
        <v>13</v>
      </c>
      <c r="C37" t="s">
        <v>114</v>
      </c>
      <c r="D37" t="s">
        <v>315</v>
      </c>
      <c r="E37" t="str">
        <f t="shared" si="0"/>
        <v>Wounds after the first on same visit</v>
      </c>
      <c r="F37" t="s">
        <v>50</v>
      </c>
      <c r="G37" t="s">
        <v>387</v>
      </c>
      <c r="H37" t="s">
        <v>66</v>
      </c>
      <c r="I37">
        <v>100000</v>
      </c>
      <c r="J37" t="s">
        <v>445</v>
      </c>
      <c r="K37" t="s">
        <v>143</v>
      </c>
      <c r="L37">
        <v>2</v>
      </c>
      <c r="M37" t="s">
        <v>407</v>
      </c>
      <c r="N37" t="s">
        <v>82</v>
      </c>
      <c r="O37" t="s">
        <v>455</v>
      </c>
      <c r="P37" t="s">
        <v>151</v>
      </c>
    </row>
    <row r="38" spans="1:16" x14ac:dyDescent="0.35">
      <c r="A38" t="s">
        <v>91</v>
      </c>
      <c r="B38" t="s">
        <v>94</v>
      </c>
      <c r="C38" t="s">
        <v>37</v>
      </c>
      <c r="D38" t="s">
        <v>316</v>
      </c>
      <c r="E38" t="str">
        <f t="shared" si="0"/>
        <v>Wounds after the first on same visit</v>
      </c>
      <c r="F38" t="s">
        <v>50</v>
      </c>
      <c r="G38" t="s">
        <v>387</v>
      </c>
      <c r="H38" t="s">
        <v>66</v>
      </c>
      <c r="I38">
        <v>100000</v>
      </c>
      <c r="J38" t="s">
        <v>445</v>
      </c>
      <c r="K38" t="s">
        <v>143</v>
      </c>
      <c r="L38">
        <v>2</v>
      </c>
      <c r="M38" t="s">
        <v>407</v>
      </c>
      <c r="N38" t="s">
        <v>82</v>
      </c>
      <c r="O38" t="s">
        <v>455</v>
      </c>
      <c r="P38" t="s">
        <v>151</v>
      </c>
    </row>
    <row r="39" spans="1:16" x14ac:dyDescent="0.35">
      <c r="A39" t="s">
        <v>91</v>
      </c>
      <c r="B39" t="s">
        <v>95</v>
      </c>
      <c r="C39" t="s">
        <v>38</v>
      </c>
      <c r="D39" t="s">
        <v>317</v>
      </c>
      <c r="E39" t="s">
        <v>131</v>
      </c>
      <c r="F39" t="s">
        <v>50</v>
      </c>
      <c r="G39" t="s">
        <v>387</v>
      </c>
      <c r="H39" t="s">
        <v>66</v>
      </c>
      <c r="I39">
        <v>150000</v>
      </c>
      <c r="J39" t="s">
        <v>446</v>
      </c>
      <c r="K39" t="s">
        <v>143</v>
      </c>
      <c r="L39">
        <v>2</v>
      </c>
      <c r="M39" t="s">
        <v>407</v>
      </c>
      <c r="N39" t="s">
        <v>82</v>
      </c>
      <c r="O39" t="s">
        <v>455</v>
      </c>
      <c r="P39" t="s">
        <v>151</v>
      </c>
    </row>
    <row r="40" spans="1:16" x14ac:dyDescent="0.35">
      <c r="A40" t="s">
        <v>91</v>
      </c>
      <c r="B40" t="s">
        <v>17</v>
      </c>
      <c r="C40" t="s">
        <v>115</v>
      </c>
      <c r="D40" t="s">
        <v>318</v>
      </c>
      <c r="E40" t="s">
        <v>131</v>
      </c>
      <c r="F40" t="s">
        <v>133</v>
      </c>
      <c r="G40" t="s">
        <v>388</v>
      </c>
      <c r="H40" t="s">
        <v>67</v>
      </c>
      <c r="I40">
        <v>150000</v>
      </c>
      <c r="J40" t="s">
        <v>446</v>
      </c>
      <c r="K40" t="s">
        <v>144</v>
      </c>
      <c r="L40">
        <v>3</v>
      </c>
      <c r="M40" t="s">
        <v>407</v>
      </c>
      <c r="N40" t="s">
        <v>82</v>
      </c>
      <c r="O40" t="s">
        <v>455</v>
      </c>
      <c r="P40" t="s">
        <v>151</v>
      </c>
    </row>
    <row r="41" spans="1:16" x14ac:dyDescent="0.35">
      <c r="A41" t="s">
        <v>91</v>
      </c>
      <c r="B41" t="s">
        <v>96</v>
      </c>
      <c r="C41" t="s">
        <v>116</v>
      </c>
      <c r="D41" t="s">
        <v>428</v>
      </c>
      <c r="E41" t="s">
        <v>131</v>
      </c>
      <c r="F41" t="s">
        <v>133</v>
      </c>
      <c r="G41" t="s">
        <v>388</v>
      </c>
      <c r="H41" t="s">
        <v>67</v>
      </c>
      <c r="I41">
        <v>150000</v>
      </c>
      <c r="J41" t="s">
        <v>447</v>
      </c>
      <c r="K41" t="s">
        <v>144</v>
      </c>
      <c r="L41">
        <v>3</v>
      </c>
      <c r="M41" t="s">
        <v>407</v>
      </c>
      <c r="N41" t="s">
        <v>82</v>
      </c>
      <c r="O41" t="s">
        <v>455</v>
      </c>
      <c r="P41" t="s">
        <v>151</v>
      </c>
    </row>
    <row r="42" spans="1:16" x14ac:dyDescent="0.35">
      <c r="A42" t="s">
        <v>91</v>
      </c>
      <c r="B42" t="s">
        <v>17</v>
      </c>
      <c r="C42" t="s">
        <v>115</v>
      </c>
      <c r="D42" t="s">
        <v>318</v>
      </c>
      <c r="E42" t="s">
        <v>131</v>
      </c>
      <c r="F42" t="s">
        <v>134</v>
      </c>
      <c r="G42" t="s">
        <v>388</v>
      </c>
      <c r="H42" t="s">
        <v>67</v>
      </c>
      <c r="I42">
        <v>50000</v>
      </c>
      <c r="J42" t="s">
        <v>447</v>
      </c>
      <c r="K42" t="s">
        <v>145</v>
      </c>
      <c r="L42">
        <v>3</v>
      </c>
      <c r="M42" t="s">
        <v>407</v>
      </c>
      <c r="N42" t="s">
        <v>82</v>
      </c>
      <c r="O42" t="s">
        <v>455</v>
      </c>
      <c r="P42" t="s">
        <v>151</v>
      </c>
    </row>
    <row r="43" spans="1:16" x14ac:dyDescent="0.35">
      <c r="A43" t="s">
        <v>91</v>
      </c>
      <c r="B43" t="s">
        <v>96</v>
      </c>
      <c r="C43" t="s">
        <v>116</v>
      </c>
      <c r="D43" t="s">
        <v>428</v>
      </c>
      <c r="E43" t="s">
        <v>131</v>
      </c>
      <c r="F43" t="s">
        <v>134</v>
      </c>
      <c r="G43" t="s">
        <v>388</v>
      </c>
      <c r="H43" t="s">
        <v>67</v>
      </c>
      <c r="I43">
        <v>50000</v>
      </c>
      <c r="J43" t="s">
        <v>448</v>
      </c>
      <c r="K43" t="s">
        <v>145</v>
      </c>
      <c r="L43">
        <v>3</v>
      </c>
      <c r="M43" t="s">
        <v>407</v>
      </c>
      <c r="N43" t="s">
        <v>82</v>
      </c>
      <c r="O43" t="s">
        <v>455</v>
      </c>
      <c r="P43" t="s">
        <v>151</v>
      </c>
    </row>
    <row r="44" spans="1:16" x14ac:dyDescent="0.35">
      <c r="A44" t="s">
        <v>91</v>
      </c>
      <c r="B44" t="s">
        <v>97</v>
      </c>
      <c r="C44" t="s">
        <v>117</v>
      </c>
      <c r="D44" t="s">
        <v>429</v>
      </c>
      <c r="E44" t="s">
        <v>131</v>
      </c>
      <c r="F44" t="s">
        <v>135</v>
      </c>
      <c r="G44" t="s">
        <v>387</v>
      </c>
      <c r="H44" t="s">
        <v>66</v>
      </c>
      <c r="I44">
        <v>50000</v>
      </c>
      <c r="J44" t="s">
        <v>447</v>
      </c>
      <c r="K44" t="s">
        <v>72</v>
      </c>
      <c r="L44">
        <v>3</v>
      </c>
      <c r="M44" t="s">
        <v>465</v>
      </c>
      <c r="N44" t="s">
        <v>455</v>
      </c>
      <c r="O44" t="s">
        <v>151</v>
      </c>
    </row>
    <row r="45" spans="1:16" x14ac:dyDescent="0.35">
      <c r="A45" t="s">
        <v>91</v>
      </c>
      <c r="B45" t="s">
        <v>97</v>
      </c>
      <c r="C45" t="s">
        <v>117</v>
      </c>
      <c r="D45" t="s">
        <v>429</v>
      </c>
      <c r="E45" t="s">
        <v>131</v>
      </c>
      <c r="F45" t="s">
        <v>136</v>
      </c>
      <c r="G45" t="s">
        <v>387</v>
      </c>
      <c r="H45" t="s">
        <v>66</v>
      </c>
      <c r="I45">
        <v>50000</v>
      </c>
      <c r="J45" t="s">
        <v>448</v>
      </c>
      <c r="K45" t="s">
        <v>145</v>
      </c>
      <c r="L45">
        <v>3</v>
      </c>
      <c r="M45" t="s">
        <v>465</v>
      </c>
      <c r="N45" t="s">
        <v>455</v>
      </c>
      <c r="O45" t="s">
        <v>151</v>
      </c>
    </row>
    <row r="46" spans="1:16" x14ac:dyDescent="0.35">
      <c r="A46" t="s">
        <v>91</v>
      </c>
      <c r="B46" t="s">
        <v>98</v>
      </c>
      <c r="C46" t="s">
        <v>118</v>
      </c>
      <c r="D46" t="s">
        <v>276</v>
      </c>
      <c r="E46" t="s">
        <v>131</v>
      </c>
      <c r="F46" t="s">
        <v>135</v>
      </c>
      <c r="G46" t="s">
        <v>387</v>
      </c>
      <c r="H46" t="s">
        <v>66</v>
      </c>
      <c r="I46">
        <v>50000</v>
      </c>
      <c r="J46" t="s">
        <v>447</v>
      </c>
      <c r="K46" t="s">
        <v>72</v>
      </c>
      <c r="L46">
        <v>3</v>
      </c>
      <c r="M46" t="s">
        <v>465</v>
      </c>
      <c r="N46" t="s">
        <v>455</v>
      </c>
      <c r="O46" t="s">
        <v>151</v>
      </c>
    </row>
    <row r="47" spans="1:16" x14ac:dyDescent="0.35">
      <c r="A47" t="s">
        <v>91</v>
      </c>
      <c r="B47" t="s">
        <v>98</v>
      </c>
      <c r="C47" t="s">
        <v>118</v>
      </c>
      <c r="D47" t="s">
        <v>276</v>
      </c>
      <c r="E47" t="s">
        <v>131</v>
      </c>
      <c r="F47" t="s">
        <v>136</v>
      </c>
      <c r="G47" t="s">
        <v>387</v>
      </c>
      <c r="H47" t="s">
        <v>66</v>
      </c>
      <c r="I47">
        <v>50000</v>
      </c>
      <c r="J47" t="s">
        <v>449</v>
      </c>
      <c r="K47" t="s">
        <v>145</v>
      </c>
      <c r="L47">
        <v>3</v>
      </c>
      <c r="M47" t="s">
        <v>465</v>
      </c>
      <c r="N47" t="s">
        <v>455</v>
      </c>
      <c r="O47" t="s">
        <v>151</v>
      </c>
    </row>
    <row r="48" spans="1:16" x14ac:dyDescent="0.35">
      <c r="A48" t="s">
        <v>91</v>
      </c>
      <c r="B48" t="s">
        <v>27</v>
      </c>
      <c r="C48" t="s">
        <v>125</v>
      </c>
      <c r="D48" t="s">
        <v>439</v>
      </c>
      <c r="E48" t="s">
        <v>131</v>
      </c>
      <c r="F48" t="s">
        <v>137</v>
      </c>
      <c r="G48" t="s">
        <v>387</v>
      </c>
      <c r="H48" t="s">
        <v>66</v>
      </c>
      <c r="I48">
        <v>100000</v>
      </c>
      <c r="J48" t="s">
        <v>450</v>
      </c>
      <c r="K48" t="s">
        <v>146</v>
      </c>
      <c r="L48">
        <v>3</v>
      </c>
      <c r="M48" t="s">
        <v>465</v>
      </c>
      <c r="N48" t="s">
        <v>455</v>
      </c>
      <c r="O48" t="s">
        <v>151</v>
      </c>
    </row>
    <row r="49" spans="1:16" x14ac:dyDescent="0.35">
      <c r="A49" t="s">
        <v>91</v>
      </c>
      <c r="B49" t="s">
        <v>18</v>
      </c>
      <c r="C49" t="s">
        <v>126</v>
      </c>
      <c r="D49" t="s">
        <v>430</v>
      </c>
      <c r="E49" t="s">
        <v>131</v>
      </c>
      <c r="F49" t="s">
        <v>53</v>
      </c>
      <c r="G49" t="s">
        <v>388</v>
      </c>
      <c r="H49" t="s">
        <v>67</v>
      </c>
      <c r="I49">
        <v>200000</v>
      </c>
      <c r="J49" t="s">
        <v>450</v>
      </c>
      <c r="K49" t="s">
        <v>147</v>
      </c>
      <c r="L49">
        <v>4</v>
      </c>
      <c r="M49" t="s">
        <v>409</v>
      </c>
      <c r="N49" t="s">
        <v>84</v>
      </c>
      <c r="O49" t="s">
        <v>455</v>
      </c>
      <c r="P49" t="s">
        <v>151</v>
      </c>
    </row>
    <row r="50" spans="1:16" x14ac:dyDescent="0.35">
      <c r="A50" t="s">
        <v>91</v>
      </c>
      <c r="B50" t="s">
        <v>105</v>
      </c>
      <c r="C50" t="s">
        <v>127</v>
      </c>
      <c r="D50" t="s">
        <v>431</v>
      </c>
      <c r="E50" t="s">
        <v>131</v>
      </c>
      <c r="F50" t="s">
        <v>53</v>
      </c>
      <c r="G50" t="s">
        <v>388</v>
      </c>
      <c r="H50" t="s">
        <v>67</v>
      </c>
      <c r="I50">
        <v>200000</v>
      </c>
      <c r="J50" t="s">
        <v>450</v>
      </c>
      <c r="K50" t="s">
        <v>147</v>
      </c>
      <c r="L50">
        <v>4</v>
      </c>
      <c r="M50" t="s">
        <v>409</v>
      </c>
      <c r="N50" t="s">
        <v>84</v>
      </c>
      <c r="O50" t="s">
        <v>455</v>
      </c>
      <c r="P50" t="s">
        <v>151</v>
      </c>
    </row>
    <row r="51" spans="1:16" x14ac:dyDescent="0.35">
      <c r="A51" t="s">
        <v>91</v>
      </c>
      <c r="B51" t="s">
        <v>19</v>
      </c>
      <c r="C51" t="s">
        <v>128</v>
      </c>
      <c r="D51" t="s">
        <v>432</v>
      </c>
      <c r="E51" t="s">
        <v>131</v>
      </c>
      <c r="F51" t="s">
        <v>53</v>
      </c>
      <c r="G51" t="s">
        <v>388</v>
      </c>
      <c r="H51" t="s">
        <v>67</v>
      </c>
      <c r="I51">
        <v>200000</v>
      </c>
      <c r="J51" t="s">
        <v>450</v>
      </c>
      <c r="K51" t="s">
        <v>147</v>
      </c>
      <c r="L51">
        <v>4</v>
      </c>
      <c r="M51" t="s">
        <v>409</v>
      </c>
      <c r="N51" t="s">
        <v>84</v>
      </c>
      <c r="O51" t="s">
        <v>455</v>
      </c>
      <c r="P51" t="s">
        <v>151</v>
      </c>
    </row>
    <row r="52" spans="1:16" x14ac:dyDescent="0.35">
      <c r="A52" t="s">
        <v>91</v>
      </c>
      <c r="B52" t="s">
        <v>106</v>
      </c>
      <c r="C52" t="s">
        <v>129</v>
      </c>
      <c r="D52" t="s">
        <v>433</v>
      </c>
      <c r="E52" t="s">
        <v>131</v>
      </c>
      <c r="F52" t="s">
        <v>53</v>
      </c>
      <c r="G52" t="s">
        <v>388</v>
      </c>
      <c r="H52" t="s">
        <v>67</v>
      </c>
      <c r="I52">
        <v>80000</v>
      </c>
      <c r="J52" t="s">
        <v>450</v>
      </c>
      <c r="K52" t="s">
        <v>147</v>
      </c>
      <c r="L52">
        <v>4</v>
      </c>
      <c r="M52" t="s">
        <v>409</v>
      </c>
      <c r="N52" t="s">
        <v>84</v>
      </c>
      <c r="O52" t="s">
        <v>455</v>
      </c>
      <c r="P52" t="s">
        <v>151</v>
      </c>
    </row>
    <row r="53" spans="1:16" x14ac:dyDescent="0.35">
      <c r="A53" t="s">
        <v>91</v>
      </c>
      <c r="B53" t="s">
        <v>18</v>
      </c>
      <c r="C53" t="s">
        <v>130</v>
      </c>
      <c r="D53" t="s">
        <v>434</v>
      </c>
      <c r="E53" t="s">
        <v>131</v>
      </c>
      <c r="F53" t="s">
        <v>138</v>
      </c>
      <c r="G53" t="s">
        <v>388</v>
      </c>
      <c r="H53" t="s">
        <v>67</v>
      </c>
      <c r="I53">
        <v>100000</v>
      </c>
      <c r="J53" t="s">
        <v>450</v>
      </c>
      <c r="K53" t="s">
        <v>147</v>
      </c>
      <c r="L53">
        <v>5</v>
      </c>
      <c r="M53" t="s">
        <v>409</v>
      </c>
      <c r="N53" t="s">
        <v>84</v>
      </c>
      <c r="O53" t="s">
        <v>455</v>
      </c>
      <c r="P53" t="s">
        <v>151</v>
      </c>
    </row>
    <row r="54" spans="1:16" x14ac:dyDescent="0.35">
      <c r="A54" t="s">
        <v>91</v>
      </c>
      <c r="B54" t="s">
        <v>19</v>
      </c>
      <c r="C54" t="s">
        <v>128</v>
      </c>
      <c r="D54" t="s">
        <v>432</v>
      </c>
      <c r="E54" t="s">
        <v>131</v>
      </c>
      <c r="F54" t="s">
        <v>138</v>
      </c>
      <c r="G54" t="s">
        <v>388</v>
      </c>
      <c r="H54" t="s">
        <v>67</v>
      </c>
      <c r="I54">
        <v>100000</v>
      </c>
      <c r="J54" t="s">
        <v>450</v>
      </c>
      <c r="K54" t="s">
        <v>147</v>
      </c>
      <c r="L54">
        <v>5</v>
      </c>
      <c r="M54" t="s">
        <v>409</v>
      </c>
      <c r="N54" t="s">
        <v>84</v>
      </c>
      <c r="O54" t="s">
        <v>455</v>
      </c>
      <c r="P54" t="s">
        <v>151</v>
      </c>
    </row>
    <row r="55" spans="1:16" x14ac:dyDescent="0.35">
      <c r="A55" t="s">
        <v>91</v>
      </c>
      <c r="B55" t="s">
        <v>106</v>
      </c>
      <c r="C55" t="s">
        <v>129</v>
      </c>
      <c r="D55" t="s">
        <v>433</v>
      </c>
      <c r="E55" t="s">
        <v>131</v>
      </c>
      <c r="F55" t="s">
        <v>138</v>
      </c>
      <c r="G55" t="s">
        <v>388</v>
      </c>
      <c r="H55" t="s">
        <v>67</v>
      </c>
      <c r="I55">
        <v>100000</v>
      </c>
      <c r="J55" t="s">
        <v>450</v>
      </c>
      <c r="K55" t="s">
        <v>147</v>
      </c>
      <c r="L55">
        <v>5</v>
      </c>
      <c r="M55" t="s">
        <v>409</v>
      </c>
      <c r="N55" t="s">
        <v>84</v>
      </c>
      <c r="O55" t="s">
        <v>455</v>
      </c>
      <c r="P55" t="s">
        <v>151</v>
      </c>
    </row>
    <row r="56" spans="1:16" x14ac:dyDescent="0.35">
      <c r="A56" t="s">
        <v>91</v>
      </c>
      <c r="B56" t="s">
        <v>105</v>
      </c>
      <c r="C56" t="s">
        <v>127</v>
      </c>
      <c r="D56" t="s">
        <v>431</v>
      </c>
      <c r="E56" t="s">
        <v>131</v>
      </c>
      <c r="F56" t="s">
        <v>139</v>
      </c>
      <c r="G56" t="s">
        <v>388</v>
      </c>
      <c r="H56" t="s">
        <v>67</v>
      </c>
      <c r="I56">
        <v>300000</v>
      </c>
      <c r="J56" t="s">
        <v>403</v>
      </c>
      <c r="K56" t="s">
        <v>80</v>
      </c>
      <c r="L56">
        <v>6</v>
      </c>
      <c r="M56" t="s">
        <v>411</v>
      </c>
      <c r="N56" t="s">
        <v>86</v>
      </c>
      <c r="O56" t="s">
        <v>456</v>
      </c>
      <c r="P56" t="s">
        <v>152</v>
      </c>
    </row>
    <row r="57" spans="1:16" x14ac:dyDescent="0.35">
      <c r="A57" t="s">
        <v>91</v>
      </c>
      <c r="B57" t="s">
        <v>105</v>
      </c>
      <c r="C57" t="s">
        <v>127</v>
      </c>
      <c r="D57" t="s">
        <v>431</v>
      </c>
      <c r="E57" t="s">
        <v>131</v>
      </c>
      <c r="F57" t="s">
        <v>140</v>
      </c>
      <c r="G57" t="s">
        <v>388</v>
      </c>
      <c r="H57" t="s">
        <v>67</v>
      </c>
      <c r="I57">
        <v>400000</v>
      </c>
      <c r="J57" t="s">
        <v>403</v>
      </c>
      <c r="K57" t="s">
        <v>80</v>
      </c>
      <c r="L57">
        <v>6</v>
      </c>
      <c r="M57" t="s">
        <v>411</v>
      </c>
      <c r="N57" t="s">
        <v>86</v>
      </c>
      <c r="O57" t="s">
        <v>456</v>
      </c>
      <c r="P57" t="s">
        <v>152</v>
      </c>
    </row>
    <row r="58" spans="1:16" x14ac:dyDescent="0.35">
      <c r="A58" t="s">
        <v>91</v>
      </c>
      <c r="B58" t="s">
        <v>106</v>
      </c>
      <c r="C58" t="s">
        <v>129</v>
      </c>
      <c r="D58" t="s">
        <v>433</v>
      </c>
      <c r="E58" t="s">
        <v>131</v>
      </c>
      <c r="F58" t="s">
        <v>139</v>
      </c>
      <c r="G58" t="s">
        <v>388</v>
      </c>
      <c r="H58" t="s">
        <v>67</v>
      </c>
      <c r="I58">
        <v>50000</v>
      </c>
      <c r="J58" t="s">
        <v>403</v>
      </c>
      <c r="K58" t="s">
        <v>80</v>
      </c>
      <c r="L58">
        <v>6</v>
      </c>
      <c r="M58" t="s">
        <v>460</v>
      </c>
      <c r="N58" t="s">
        <v>86</v>
      </c>
      <c r="O58" t="s">
        <v>456</v>
      </c>
      <c r="P58" t="s">
        <v>152</v>
      </c>
    </row>
    <row r="59" spans="1:16" x14ac:dyDescent="0.35">
      <c r="A59" t="s">
        <v>91</v>
      </c>
      <c r="B59" t="s">
        <v>106</v>
      </c>
      <c r="C59" t="s">
        <v>129</v>
      </c>
      <c r="D59" t="s">
        <v>433</v>
      </c>
      <c r="E59" t="s">
        <v>131</v>
      </c>
      <c r="F59" t="s">
        <v>140</v>
      </c>
      <c r="G59" t="s">
        <v>388</v>
      </c>
      <c r="H59" t="s">
        <v>67</v>
      </c>
      <c r="I59">
        <v>80000</v>
      </c>
      <c r="J59" t="s">
        <v>403</v>
      </c>
      <c r="K59" t="s">
        <v>80</v>
      </c>
      <c r="L59">
        <v>6</v>
      </c>
      <c r="M59" t="s">
        <v>460</v>
      </c>
      <c r="N59" t="s">
        <v>86</v>
      </c>
      <c r="O59" t="s">
        <v>456</v>
      </c>
      <c r="P59" t="s">
        <v>152</v>
      </c>
    </row>
    <row r="60" spans="1:16" x14ac:dyDescent="0.35">
      <c r="A60" t="s">
        <v>91</v>
      </c>
      <c r="B60" t="s">
        <v>97</v>
      </c>
      <c r="C60" t="s">
        <v>117</v>
      </c>
      <c r="D60" t="s">
        <v>435</v>
      </c>
      <c r="E60" t="s">
        <v>131</v>
      </c>
      <c r="F60" t="s">
        <v>139</v>
      </c>
      <c r="G60" t="s">
        <v>388</v>
      </c>
      <c r="H60" t="s">
        <v>67</v>
      </c>
      <c r="I60">
        <v>50000</v>
      </c>
      <c r="J60" t="s">
        <v>403</v>
      </c>
      <c r="K60" t="s">
        <v>80</v>
      </c>
      <c r="L60">
        <v>6</v>
      </c>
      <c r="M60" t="s">
        <v>460</v>
      </c>
      <c r="N60" t="s">
        <v>86</v>
      </c>
      <c r="O60" t="s">
        <v>456</v>
      </c>
      <c r="P60" t="s">
        <v>152</v>
      </c>
    </row>
    <row r="61" spans="1:16" x14ac:dyDescent="0.35">
      <c r="A61" t="s">
        <v>91</v>
      </c>
      <c r="B61" t="s">
        <v>98</v>
      </c>
      <c r="C61" t="s">
        <v>118</v>
      </c>
      <c r="D61" t="s">
        <v>436</v>
      </c>
      <c r="E61" t="s">
        <v>131</v>
      </c>
      <c r="F61" t="s">
        <v>140</v>
      </c>
      <c r="G61" t="s">
        <v>388</v>
      </c>
      <c r="H61" t="s">
        <v>67</v>
      </c>
      <c r="I61">
        <v>80000</v>
      </c>
      <c r="J61" t="s">
        <v>403</v>
      </c>
      <c r="K61" t="s">
        <v>80</v>
      </c>
      <c r="L61">
        <v>6</v>
      </c>
      <c r="M61" t="s">
        <v>460</v>
      </c>
      <c r="N61" t="s">
        <v>86</v>
      </c>
      <c r="O61" t="s">
        <v>456</v>
      </c>
      <c r="P61" t="s">
        <v>152</v>
      </c>
    </row>
    <row r="62" spans="1:16" x14ac:dyDescent="0.35">
      <c r="A62" t="s">
        <v>91</v>
      </c>
      <c r="B62" t="s">
        <v>107</v>
      </c>
      <c r="C62" t="s">
        <v>47</v>
      </c>
      <c r="D62" t="s">
        <v>437</v>
      </c>
      <c r="E62" t="s">
        <v>131</v>
      </c>
      <c r="F62" t="s">
        <v>139</v>
      </c>
      <c r="G62" t="s">
        <v>388</v>
      </c>
      <c r="H62" t="s">
        <v>67</v>
      </c>
      <c r="I62">
        <v>50000</v>
      </c>
      <c r="J62" t="s">
        <v>403</v>
      </c>
      <c r="K62" t="s">
        <v>80</v>
      </c>
      <c r="L62">
        <v>6</v>
      </c>
      <c r="M62" t="s">
        <v>460</v>
      </c>
      <c r="N62" t="s">
        <v>86</v>
      </c>
      <c r="O62" t="s">
        <v>456</v>
      </c>
      <c r="P62" t="s">
        <v>152</v>
      </c>
    </row>
    <row r="63" spans="1:16" x14ac:dyDescent="0.35">
      <c r="A63" t="s">
        <v>91</v>
      </c>
      <c r="B63" t="s">
        <v>107</v>
      </c>
      <c r="C63" t="s">
        <v>47</v>
      </c>
      <c r="D63" t="s">
        <v>437</v>
      </c>
      <c r="E63" t="s">
        <v>131</v>
      </c>
      <c r="F63" t="s">
        <v>140</v>
      </c>
      <c r="G63" t="s">
        <v>388</v>
      </c>
      <c r="H63" t="s">
        <v>67</v>
      </c>
      <c r="I63">
        <v>100000</v>
      </c>
      <c r="J63" t="s">
        <v>403</v>
      </c>
      <c r="K63" t="s">
        <v>80</v>
      </c>
      <c r="L63">
        <v>6</v>
      </c>
      <c r="M63" t="s">
        <v>460</v>
      </c>
      <c r="N63" t="s">
        <v>86</v>
      </c>
      <c r="O63" t="s">
        <v>456</v>
      </c>
      <c r="P63" t="s">
        <v>152</v>
      </c>
    </row>
    <row r="64" spans="1:16" x14ac:dyDescent="0.35">
      <c r="A64" t="s">
        <v>91</v>
      </c>
      <c r="B64" t="s">
        <v>108</v>
      </c>
      <c r="C64" t="s">
        <v>48</v>
      </c>
      <c r="D64" t="s">
        <v>438</v>
      </c>
      <c r="E64" t="s">
        <v>131</v>
      </c>
      <c r="F64" t="s">
        <v>139</v>
      </c>
      <c r="G64" t="s">
        <v>388</v>
      </c>
      <c r="H64" t="s">
        <v>67</v>
      </c>
      <c r="I64">
        <v>50000</v>
      </c>
      <c r="J64" t="s">
        <v>403</v>
      </c>
      <c r="K64" t="s">
        <v>80</v>
      </c>
      <c r="L64">
        <v>6</v>
      </c>
      <c r="M64" t="s">
        <v>460</v>
      </c>
      <c r="N64" t="s">
        <v>86</v>
      </c>
      <c r="O64" t="s">
        <v>456</v>
      </c>
      <c r="P64" t="s">
        <v>152</v>
      </c>
    </row>
    <row r="65" spans="1:16" x14ac:dyDescent="0.35">
      <c r="A65" t="s">
        <v>91</v>
      </c>
      <c r="B65" t="s">
        <v>107</v>
      </c>
      <c r="C65" t="s">
        <v>47</v>
      </c>
      <c r="D65" t="s">
        <v>437</v>
      </c>
      <c r="E65" t="s">
        <v>131</v>
      </c>
      <c r="F65" t="s">
        <v>140</v>
      </c>
      <c r="G65" t="s">
        <v>388</v>
      </c>
      <c r="H65" t="s">
        <v>67</v>
      </c>
      <c r="I65">
        <v>100000</v>
      </c>
      <c r="J65" t="s">
        <v>403</v>
      </c>
      <c r="K65" t="s">
        <v>80</v>
      </c>
      <c r="L65">
        <v>6</v>
      </c>
      <c r="M65" t="s">
        <v>460</v>
      </c>
      <c r="N65" t="s">
        <v>86</v>
      </c>
      <c r="O65" t="s">
        <v>456</v>
      </c>
      <c r="P65" t="s">
        <v>152</v>
      </c>
    </row>
    <row r="66" spans="1:16" x14ac:dyDescent="0.35">
      <c r="A66" t="s">
        <v>91</v>
      </c>
      <c r="B66" t="s">
        <v>105</v>
      </c>
      <c r="C66" t="s">
        <v>127</v>
      </c>
      <c r="D66" t="s">
        <v>431</v>
      </c>
      <c r="E66" t="s">
        <v>132</v>
      </c>
      <c r="F66" t="s">
        <v>61</v>
      </c>
      <c r="G66" t="s">
        <v>388</v>
      </c>
      <c r="H66" t="s">
        <v>67</v>
      </c>
      <c r="I66" t="s">
        <v>351</v>
      </c>
      <c r="J66" t="s">
        <v>451</v>
      </c>
      <c r="K66" t="s">
        <v>81</v>
      </c>
      <c r="L66">
        <v>6</v>
      </c>
      <c r="M66" t="s">
        <v>460</v>
      </c>
      <c r="N66" t="s">
        <v>86</v>
      </c>
      <c r="O66" t="s">
        <v>456</v>
      </c>
      <c r="P66" t="s">
        <v>152</v>
      </c>
    </row>
    <row r="67" spans="1:16" x14ac:dyDescent="0.35">
      <c r="A67" t="s">
        <v>91</v>
      </c>
      <c r="B67" t="s">
        <v>106</v>
      </c>
      <c r="C67" t="s">
        <v>129</v>
      </c>
      <c r="D67" t="s">
        <v>433</v>
      </c>
      <c r="E67" t="s">
        <v>132</v>
      </c>
      <c r="F67" t="s">
        <v>61</v>
      </c>
      <c r="G67" t="s">
        <v>388</v>
      </c>
      <c r="H67" t="s">
        <v>67</v>
      </c>
      <c r="I67" t="s">
        <v>351</v>
      </c>
      <c r="J67" t="s">
        <v>451</v>
      </c>
      <c r="K67" t="s">
        <v>81</v>
      </c>
      <c r="L67">
        <v>6</v>
      </c>
      <c r="M67" t="s">
        <v>461</v>
      </c>
      <c r="N67" t="s">
        <v>87</v>
      </c>
      <c r="O67" t="s">
        <v>456</v>
      </c>
      <c r="P67" t="s">
        <v>152</v>
      </c>
    </row>
    <row r="68" spans="1:16" x14ac:dyDescent="0.35">
      <c r="A68" t="s">
        <v>91</v>
      </c>
      <c r="B68" t="s">
        <v>23</v>
      </c>
      <c r="C68" t="s">
        <v>23</v>
      </c>
      <c r="D68" t="s">
        <v>23</v>
      </c>
      <c r="E68" t="s">
        <v>440</v>
      </c>
      <c r="F68" t="s">
        <v>56</v>
      </c>
      <c r="G68" t="s">
        <v>389</v>
      </c>
      <c r="H68" t="s">
        <v>68</v>
      </c>
      <c r="I68">
        <v>1.5</v>
      </c>
      <c r="J68" t="s">
        <v>452</v>
      </c>
      <c r="K68" t="s">
        <v>76</v>
      </c>
      <c r="L68">
        <v>7</v>
      </c>
      <c r="M68" t="s">
        <v>462</v>
      </c>
      <c r="N68" t="s">
        <v>83</v>
      </c>
      <c r="O68" t="s">
        <v>457</v>
      </c>
      <c r="P68" t="s">
        <v>153</v>
      </c>
    </row>
    <row r="69" spans="1:16" x14ac:dyDescent="0.35">
      <c r="A69" t="s">
        <v>91</v>
      </c>
      <c r="B69" t="s">
        <v>23</v>
      </c>
      <c r="C69" t="s">
        <v>23</v>
      </c>
      <c r="D69" t="s">
        <v>23</v>
      </c>
      <c r="E69" t="s">
        <v>440</v>
      </c>
      <c r="F69" t="s">
        <v>57</v>
      </c>
      <c r="G69" t="s">
        <v>389</v>
      </c>
      <c r="H69" t="s">
        <v>68</v>
      </c>
      <c r="I69">
        <v>3</v>
      </c>
      <c r="J69" t="s">
        <v>400</v>
      </c>
      <c r="K69" t="s">
        <v>77</v>
      </c>
      <c r="L69">
        <v>7</v>
      </c>
      <c r="M69" t="s">
        <v>463</v>
      </c>
      <c r="N69" t="s">
        <v>85</v>
      </c>
      <c r="O69" t="s">
        <v>457</v>
      </c>
      <c r="P69" t="s">
        <v>153</v>
      </c>
    </row>
    <row r="70" spans="1:16" x14ac:dyDescent="0.35">
      <c r="A70" t="s">
        <v>91</v>
      </c>
      <c r="B70" t="s">
        <v>23</v>
      </c>
      <c r="C70" t="s">
        <v>23</v>
      </c>
      <c r="D70" t="s">
        <v>23</v>
      </c>
      <c r="E70" t="s">
        <v>440</v>
      </c>
      <c r="F70" t="s">
        <v>58</v>
      </c>
      <c r="G70" t="s">
        <v>390</v>
      </c>
      <c r="H70" t="s">
        <v>69</v>
      </c>
      <c r="I70">
        <v>0.1</v>
      </c>
      <c r="J70" t="s">
        <v>453</v>
      </c>
      <c r="K70" t="s">
        <v>78</v>
      </c>
      <c r="L70">
        <v>7</v>
      </c>
      <c r="M70" t="s">
        <v>464</v>
      </c>
      <c r="N70" t="s">
        <v>150</v>
      </c>
      <c r="O70" t="s">
        <v>457</v>
      </c>
      <c r="P70" t="s">
        <v>153</v>
      </c>
    </row>
    <row r="71" spans="1:16" x14ac:dyDescent="0.35">
      <c r="A71" t="s">
        <v>91</v>
      </c>
      <c r="B71" t="s">
        <v>23</v>
      </c>
      <c r="C71" t="s">
        <v>23</v>
      </c>
      <c r="D71" t="str">
        <f t="shared" ref="D71:D72" si="1">CLEAN(TRIM(C71))</f>
        <v>Any Service</v>
      </c>
      <c r="E71" t="s">
        <v>440</v>
      </c>
      <c r="F71" t="s">
        <v>59</v>
      </c>
      <c r="G71" t="s">
        <v>390</v>
      </c>
      <c r="H71" t="s">
        <v>69</v>
      </c>
      <c r="I71" t="s">
        <v>352</v>
      </c>
      <c r="J71" t="s">
        <v>454</v>
      </c>
      <c r="K71" t="s">
        <v>79</v>
      </c>
      <c r="L71">
        <v>7</v>
      </c>
      <c r="M71" t="s">
        <v>460</v>
      </c>
      <c r="N71" t="s">
        <v>86</v>
      </c>
      <c r="O71" t="s">
        <v>457</v>
      </c>
      <c r="P71" t="s">
        <v>153</v>
      </c>
    </row>
    <row r="72" spans="1:16" x14ac:dyDescent="0.35">
      <c r="A72" t="s">
        <v>91</v>
      </c>
      <c r="B72" t="s">
        <v>23</v>
      </c>
      <c r="C72" t="s">
        <v>23</v>
      </c>
      <c r="D72" t="str">
        <f t="shared" si="1"/>
        <v>Any Service</v>
      </c>
      <c r="E72" t="s">
        <v>440</v>
      </c>
      <c r="F72" t="s">
        <v>55</v>
      </c>
      <c r="G72" t="s">
        <v>387</v>
      </c>
      <c r="H72" t="s">
        <v>66</v>
      </c>
      <c r="I72" t="s">
        <v>354</v>
      </c>
      <c r="J72" t="s">
        <v>398</v>
      </c>
      <c r="K72" t="s">
        <v>75</v>
      </c>
      <c r="L72">
        <v>7</v>
      </c>
      <c r="M72" t="s">
        <v>462</v>
      </c>
      <c r="N72" t="s">
        <v>83</v>
      </c>
      <c r="O72" t="s">
        <v>457</v>
      </c>
      <c r="P72" t="s">
        <v>153</v>
      </c>
    </row>
    <row r="73" spans="1:16" x14ac:dyDescent="0.35">
      <c r="E73" t="s">
        <v>440</v>
      </c>
      <c r="J73" t="s">
        <v>442</v>
      </c>
      <c r="M73" t="s">
        <v>442</v>
      </c>
    </row>
    <row r="74" spans="1:16" x14ac:dyDescent="0.35">
      <c r="E74" t="s">
        <v>440</v>
      </c>
      <c r="J74" t="s">
        <v>442</v>
      </c>
      <c r="M74" t="s">
        <v>442</v>
      </c>
    </row>
    <row r="75" spans="1:16" x14ac:dyDescent="0.35">
      <c r="E75" t="s">
        <v>440</v>
      </c>
      <c r="J75" t="s">
        <v>442</v>
      </c>
      <c r="M75" t="s">
        <v>442</v>
      </c>
    </row>
    <row r="76" spans="1:16" x14ac:dyDescent="0.35">
      <c r="E76" t="s">
        <v>440</v>
      </c>
      <c r="J76" t="s">
        <v>442</v>
      </c>
      <c r="M76" t="s">
        <v>442</v>
      </c>
    </row>
    <row r="77" spans="1:16" x14ac:dyDescent="0.35">
      <c r="E77" t="s">
        <v>133</v>
      </c>
      <c r="J77" t="s">
        <v>442</v>
      </c>
      <c r="M77" t="s">
        <v>442</v>
      </c>
    </row>
    <row r="78" spans="1:16" x14ac:dyDescent="0.35">
      <c r="E78" t="s">
        <v>133</v>
      </c>
      <c r="J78" t="s">
        <v>442</v>
      </c>
      <c r="M78" t="s">
        <v>442</v>
      </c>
    </row>
    <row r="79" spans="1:16" x14ac:dyDescent="0.35">
      <c r="E79" t="s">
        <v>134</v>
      </c>
      <c r="J79" t="s">
        <v>442</v>
      </c>
      <c r="M79" t="s">
        <v>442</v>
      </c>
    </row>
    <row r="80" spans="1:16" x14ac:dyDescent="0.35">
      <c r="E80" t="s">
        <v>134</v>
      </c>
      <c r="J80" t="s">
        <v>442</v>
      </c>
      <c r="M80" t="s">
        <v>442</v>
      </c>
    </row>
    <row r="81" spans="5:15" x14ac:dyDescent="0.35">
      <c r="E81" t="s">
        <v>135</v>
      </c>
      <c r="J81" t="s">
        <v>442</v>
      </c>
      <c r="M81" t="s">
        <v>442</v>
      </c>
    </row>
    <row r="82" spans="5:15" x14ac:dyDescent="0.35">
      <c r="E82" t="s">
        <v>136</v>
      </c>
      <c r="J82" t="s">
        <v>442</v>
      </c>
      <c r="M82" t="s">
        <v>442</v>
      </c>
    </row>
    <row r="83" spans="5:15" x14ac:dyDescent="0.35">
      <c r="E83" t="s">
        <v>135</v>
      </c>
      <c r="J83" t="s">
        <v>442</v>
      </c>
      <c r="M83" t="s">
        <v>442</v>
      </c>
    </row>
    <row r="84" spans="5:15" x14ac:dyDescent="0.35">
      <c r="E84" t="s">
        <v>136</v>
      </c>
      <c r="J84" t="s">
        <v>442</v>
      </c>
      <c r="M84" t="s">
        <v>442</v>
      </c>
    </row>
    <row r="85" spans="5:15" x14ac:dyDescent="0.35">
      <c r="E85" t="s">
        <v>137</v>
      </c>
      <c r="J85" t="s">
        <v>442</v>
      </c>
      <c r="M85" t="s">
        <v>442</v>
      </c>
    </row>
    <row r="86" spans="5:15" x14ac:dyDescent="0.35">
      <c r="E86" t="s">
        <v>53</v>
      </c>
      <c r="J86" t="s">
        <v>442</v>
      </c>
      <c r="M86" t="s">
        <v>442</v>
      </c>
    </row>
    <row r="87" spans="5:15" x14ac:dyDescent="0.35">
      <c r="E87" t="s">
        <v>53</v>
      </c>
      <c r="J87" t="s">
        <v>442</v>
      </c>
      <c r="M87" t="s">
        <v>442</v>
      </c>
    </row>
    <row r="88" spans="5:15" x14ac:dyDescent="0.35">
      <c r="E88" t="s">
        <v>53</v>
      </c>
      <c r="J88" t="s">
        <v>442</v>
      </c>
      <c r="M88" t="s">
        <v>442</v>
      </c>
      <c r="O88" t="str">
        <f t="shared" ref="O88:O124" si="2">CLEAN(TRIM(P73))</f>
        <v/>
      </c>
    </row>
    <row r="89" spans="5:15" x14ac:dyDescent="0.35">
      <c r="E89" t="s">
        <v>53</v>
      </c>
      <c r="J89" t="s">
        <v>442</v>
      </c>
      <c r="M89" t="s">
        <v>442</v>
      </c>
      <c r="O89" t="str">
        <f t="shared" si="2"/>
        <v/>
      </c>
    </row>
    <row r="90" spans="5:15" x14ac:dyDescent="0.35">
      <c r="E90" t="s">
        <v>138</v>
      </c>
      <c r="J90" t="s">
        <v>442</v>
      </c>
      <c r="M90" t="s">
        <v>442</v>
      </c>
      <c r="O90" t="str">
        <f t="shared" si="2"/>
        <v/>
      </c>
    </row>
    <row r="91" spans="5:15" x14ac:dyDescent="0.35">
      <c r="E91" t="s">
        <v>138</v>
      </c>
      <c r="J91" t="s">
        <v>442</v>
      </c>
      <c r="M91" t="s">
        <v>442</v>
      </c>
      <c r="O91" t="str">
        <f t="shared" si="2"/>
        <v/>
      </c>
    </row>
    <row r="92" spans="5:15" x14ac:dyDescent="0.35">
      <c r="E92" t="s">
        <v>138</v>
      </c>
      <c r="J92" t="s">
        <v>442</v>
      </c>
      <c r="M92" t="s">
        <v>442</v>
      </c>
      <c r="O92" t="str">
        <f t="shared" si="2"/>
        <v/>
      </c>
    </row>
    <row r="93" spans="5:15" x14ac:dyDescent="0.35">
      <c r="E93" t="s">
        <v>139</v>
      </c>
      <c r="J93" t="s">
        <v>442</v>
      </c>
      <c r="M93" t="s">
        <v>442</v>
      </c>
      <c r="O93" t="str">
        <f t="shared" si="2"/>
        <v/>
      </c>
    </row>
    <row r="94" spans="5:15" x14ac:dyDescent="0.35">
      <c r="E94" t="s">
        <v>140</v>
      </c>
      <c r="J94" t="s">
        <v>442</v>
      </c>
      <c r="M94" t="s">
        <v>442</v>
      </c>
      <c r="O94" t="str">
        <f t="shared" si="2"/>
        <v/>
      </c>
    </row>
    <row r="95" spans="5:15" x14ac:dyDescent="0.35">
      <c r="E95" t="s">
        <v>139</v>
      </c>
      <c r="J95" t="s">
        <v>442</v>
      </c>
      <c r="M95" t="s">
        <v>442</v>
      </c>
      <c r="O95" t="str">
        <f t="shared" si="2"/>
        <v/>
      </c>
    </row>
    <row r="96" spans="5:15" x14ac:dyDescent="0.35">
      <c r="E96" t="s">
        <v>140</v>
      </c>
      <c r="J96" t="s">
        <v>442</v>
      </c>
      <c r="M96" t="s">
        <v>442</v>
      </c>
      <c r="O96" t="str">
        <f t="shared" si="2"/>
        <v/>
      </c>
    </row>
    <row r="97" spans="5:15" x14ac:dyDescent="0.35">
      <c r="E97" t="s">
        <v>139</v>
      </c>
      <c r="J97" t="s">
        <v>442</v>
      </c>
      <c r="M97" t="s">
        <v>442</v>
      </c>
      <c r="O97" t="str">
        <f t="shared" si="2"/>
        <v/>
      </c>
    </row>
    <row r="98" spans="5:15" x14ac:dyDescent="0.35">
      <c r="E98" t="s">
        <v>140</v>
      </c>
      <c r="J98" t="s">
        <v>442</v>
      </c>
      <c r="M98" t="s">
        <v>442</v>
      </c>
      <c r="O98" t="str">
        <f t="shared" si="2"/>
        <v/>
      </c>
    </row>
    <row r="99" spans="5:15" x14ac:dyDescent="0.35">
      <c r="E99" t="s">
        <v>139</v>
      </c>
      <c r="J99" t="s">
        <v>442</v>
      </c>
      <c r="M99" t="s">
        <v>442</v>
      </c>
      <c r="O99" t="str">
        <f t="shared" si="2"/>
        <v/>
      </c>
    </row>
    <row r="100" spans="5:15" x14ac:dyDescent="0.35">
      <c r="E100" t="s">
        <v>140</v>
      </c>
      <c r="J100" t="s">
        <v>442</v>
      </c>
      <c r="M100" t="s">
        <v>442</v>
      </c>
      <c r="O100" t="str">
        <f t="shared" si="2"/>
        <v/>
      </c>
    </row>
    <row r="101" spans="5:15" x14ac:dyDescent="0.35">
      <c r="E101" t="s">
        <v>139</v>
      </c>
      <c r="J101" t="s">
        <v>442</v>
      </c>
      <c r="M101" t="s">
        <v>442</v>
      </c>
      <c r="O101" t="str">
        <f t="shared" si="2"/>
        <v/>
      </c>
    </row>
    <row r="102" spans="5:15" x14ac:dyDescent="0.35">
      <c r="E102" t="s">
        <v>140</v>
      </c>
      <c r="J102" t="s">
        <v>442</v>
      </c>
      <c r="M102" t="s">
        <v>442</v>
      </c>
      <c r="O102" t="str">
        <f t="shared" si="2"/>
        <v/>
      </c>
    </row>
    <row r="103" spans="5:15" x14ac:dyDescent="0.35">
      <c r="E103" t="s">
        <v>61</v>
      </c>
      <c r="J103" t="s">
        <v>442</v>
      </c>
      <c r="M103" t="s">
        <v>442</v>
      </c>
      <c r="O103" t="str">
        <f t="shared" si="2"/>
        <v/>
      </c>
    </row>
    <row r="104" spans="5:15" x14ac:dyDescent="0.35">
      <c r="E104" t="s">
        <v>61</v>
      </c>
      <c r="J104" t="s">
        <v>442</v>
      </c>
      <c r="M104" t="s">
        <v>442</v>
      </c>
      <c r="O104" t="str">
        <f t="shared" si="2"/>
        <v/>
      </c>
    </row>
    <row r="105" spans="5:15" x14ac:dyDescent="0.35">
      <c r="E105" t="s">
        <v>56</v>
      </c>
      <c r="J105" t="s">
        <v>442</v>
      </c>
      <c r="M105" t="s">
        <v>442</v>
      </c>
      <c r="O105" t="str">
        <f t="shared" si="2"/>
        <v/>
      </c>
    </row>
    <row r="106" spans="5:15" x14ac:dyDescent="0.35">
      <c r="E106" t="s">
        <v>57</v>
      </c>
      <c r="J106" t="s">
        <v>442</v>
      </c>
      <c r="M106" t="s">
        <v>442</v>
      </c>
      <c r="O106" t="str">
        <f t="shared" si="2"/>
        <v/>
      </c>
    </row>
    <row r="107" spans="5:15" x14ac:dyDescent="0.35">
      <c r="E107" t="s">
        <v>58</v>
      </c>
      <c r="J107" t="s">
        <v>442</v>
      </c>
      <c r="M107" t="s">
        <v>442</v>
      </c>
      <c r="O107" t="str">
        <f t="shared" si="2"/>
        <v/>
      </c>
    </row>
    <row r="108" spans="5:15" x14ac:dyDescent="0.35">
      <c r="E108" t="s">
        <v>59</v>
      </c>
      <c r="J108" t="s">
        <v>442</v>
      </c>
      <c r="M108" t="s">
        <v>442</v>
      </c>
      <c r="O108" t="str">
        <f t="shared" si="2"/>
        <v/>
      </c>
    </row>
    <row r="109" spans="5:15" x14ac:dyDescent="0.35">
      <c r="E109" t="s">
        <v>441</v>
      </c>
      <c r="J109" t="s">
        <v>442</v>
      </c>
      <c r="M109" t="s">
        <v>442</v>
      </c>
      <c r="O109" t="str">
        <f t="shared" si="2"/>
        <v/>
      </c>
    </row>
    <row r="110" spans="5:15" x14ac:dyDescent="0.35">
      <c r="M110" t="s">
        <v>442</v>
      </c>
      <c r="O110" t="str">
        <f t="shared" si="2"/>
        <v/>
      </c>
    </row>
    <row r="111" spans="5:15" x14ac:dyDescent="0.35">
      <c r="M111" t="s">
        <v>442</v>
      </c>
      <c r="O111" t="str">
        <f t="shared" si="2"/>
        <v/>
      </c>
    </row>
    <row r="112" spans="5:15" x14ac:dyDescent="0.35">
      <c r="M112" t="s">
        <v>442</v>
      </c>
      <c r="O112" t="str">
        <f t="shared" si="2"/>
        <v/>
      </c>
    </row>
    <row r="113" spans="13:15" x14ac:dyDescent="0.35">
      <c r="M113" t="s">
        <v>442</v>
      </c>
      <c r="O113" t="str">
        <f t="shared" si="2"/>
        <v/>
      </c>
    </row>
    <row r="114" spans="13:15" x14ac:dyDescent="0.35">
      <c r="O114" t="str">
        <f t="shared" si="2"/>
        <v/>
      </c>
    </row>
    <row r="115" spans="13:15" x14ac:dyDescent="0.35">
      <c r="O115" t="str">
        <f t="shared" si="2"/>
        <v/>
      </c>
    </row>
    <row r="116" spans="13:15" x14ac:dyDescent="0.35">
      <c r="O116" t="str">
        <f t="shared" si="2"/>
        <v/>
      </c>
    </row>
    <row r="117" spans="13:15" x14ac:dyDescent="0.35">
      <c r="O117" t="str">
        <f t="shared" si="2"/>
        <v/>
      </c>
    </row>
    <row r="118" spans="13:15" x14ac:dyDescent="0.35">
      <c r="O118" t="str">
        <f t="shared" si="2"/>
        <v/>
      </c>
    </row>
    <row r="119" spans="13:15" x14ac:dyDescent="0.35">
      <c r="O119" t="str">
        <f t="shared" si="2"/>
        <v/>
      </c>
    </row>
    <row r="120" spans="13:15" x14ac:dyDescent="0.35">
      <c r="O120" t="str">
        <f t="shared" si="2"/>
        <v/>
      </c>
    </row>
    <row r="121" spans="13:15" x14ac:dyDescent="0.35">
      <c r="O121" t="str">
        <f t="shared" si="2"/>
        <v/>
      </c>
    </row>
    <row r="122" spans="13:15" x14ac:dyDescent="0.35">
      <c r="O122" t="str">
        <f t="shared" si="2"/>
        <v/>
      </c>
    </row>
    <row r="123" spans="13:15" x14ac:dyDescent="0.35">
      <c r="O123" t="str">
        <f t="shared" si="2"/>
        <v/>
      </c>
    </row>
    <row r="124" spans="13:15" x14ac:dyDescent="0.35">
      <c r="O124" t="str">
        <f t="shared" si="2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workbookViewId="0">
      <selection activeCell="Q1" sqref="A1:Q1"/>
    </sheetView>
  </sheetViews>
  <sheetFormatPr defaultRowHeight="14.5" x14ac:dyDescent="0.35"/>
  <cols>
    <col min="1" max="1" width="10.453125" customWidth="1"/>
    <col min="2" max="2" width="8" bestFit="1" customWidth="1"/>
    <col min="3" max="3" width="9.6328125" bestFit="1" customWidth="1"/>
    <col min="4" max="5" width="14.26953125" bestFit="1" customWidth="1"/>
    <col min="6" max="6" width="19.7265625" customWidth="1"/>
    <col min="7" max="7" width="18" customWidth="1"/>
    <col min="8" max="8" width="18.1796875" bestFit="1" customWidth="1"/>
    <col min="9" max="9" width="26.6328125" bestFit="1" customWidth="1"/>
    <col min="10" max="10" width="53.26953125" bestFit="1" customWidth="1"/>
    <col min="11" max="11" width="53.26953125" customWidth="1"/>
    <col min="12" max="12" width="6.81640625" customWidth="1"/>
    <col min="13" max="13" width="12.36328125" customWidth="1"/>
    <col min="14" max="14" width="12.453125" bestFit="1" customWidth="1"/>
    <col min="15" max="15" width="8" bestFit="1" customWidth="1"/>
    <col min="16" max="16" width="24.08984375" bestFit="1" customWidth="1"/>
    <col min="17" max="17" width="11.6328125" customWidth="1"/>
    <col min="18" max="20" width="12.36328125" customWidth="1"/>
    <col min="21" max="21" width="15.6328125" customWidth="1"/>
    <col min="22" max="22" width="14.90625" customWidth="1"/>
    <col min="23" max="23" width="16.7265625" customWidth="1"/>
  </cols>
  <sheetData>
    <row r="1" spans="1:23" s="4" customFormat="1" ht="29" x14ac:dyDescent="0.35">
      <c r="A1" s="3" t="s">
        <v>154</v>
      </c>
      <c r="B1" s="3" t="s">
        <v>155</v>
      </c>
      <c r="C1" s="3" t="s">
        <v>156</v>
      </c>
      <c r="D1" s="3" t="s">
        <v>251</v>
      </c>
      <c r="E1" s="3" t="s">
        <v>252</v>
      </c>
      <c r="F1" s="3" t="s">
        <v>253</v>
      </c>
      <c r="G1" s="3" t="s">
        <v>254</v>
      </c>
      <c r="H1" s="3" t="s">
        <v>157</v>
      </c>
      <c r="I1" s="3" t="s">
        <v>158</v>
      </c>
      <c r="J1" s="3" t="s">
        <v>255</v>
      </c>
      <c r="K1" s="3" t="s">
        <v>256</v>
      </c>
      <c r="L1" s="3" t="s">
        <v>296</v>
      </c>
      <c r="M1" s="3" t="s">
        <v>297</v>
      </c>
      <c r="N1" s="3" t="s">
        <v>159</v>
      </c>
      <c r="O1" s="3" t="s">
        <v>160</v>
      </c>
      <c r="P1" s="3" t="s">
        <v>161</v>
      </c>
      <c r="Q1" s="3" t="s">
        <v>298</v>
      </c>
      <c r="R1" s="3" t="s">
        <v>162</v>
      </c>
      <c r="S1" s="3" t="s">
        <v>163</v>
      </c>
      <c r="T1" s="3" t="s">
        <v>164</v>
      </c>
      <c r="U1" s="3" t="s">
        <v>165</v>
      </c>
      <c r="V1" s="3" t="s">
        <v>166</v>
      </c>
      <c r="W1" s="3" t="s">
        <v>167</v>
      </c>
    </row>
    <row r="2" spans="1:23" x14ac:dyDescent="0.35">
      <c r="A2">
        <v>1</v>
      </c>
      <c r="B2" t="s">
        <v>4</v>
      </c>
      <c r="C2" t="s">
        <v>18</v>
      </c>
      <c r="D2" t="s">
        <v>168</v>
      </c>
      <c r="E2" t="s">
        <v>249</v>
      </c>
      <c r="F2" t="s">
        <v>169</v>
      </c>
      <c r="G2" t="s">
        <v>246</v>
      </c>
      <c r="H2" t="s">
        <v>170</v>
      </c>
      <c r="I2" t="s">
        <v>171</v>
      </c>
      <c r="J2" t="s">
        <v>42</v>
      </c>
      <c r="K2" t="s">
        <v>257</v>
      </c>
      <c r="L2" t="s">
        <v>172</v>
      </c>
      <c r="M2" t="s">
        <v>173</v>
      </c>
      <c r="N2">
        <v>200000</v>
      </c>
      <c r="O2" t="s">
        <v>174</v>
      </c>
      <c r="P2" t="s">
        <v>175</v>
      </c>
      <c r="Q2" t="b">
        <v>1</v>
      </c>
    </row>
    <row r="3" spans="1:23" x14ac:dyDescent="0.35">
      <c r="A3">
        <v>2</v>
      </c>
      <c r="B3" t="s">
        <v>4</v>
      </c>
      <c r="C3" t="s">
        <v>19</v>
      </c>
      <c r="D3" t="s">
        <v>168</v>
      </c>
      <c r="E3" t="s">
        <v>249</v>
      </c>
      <c r="F3" t="s">
        <v>169</v>
      </c>
      <c r="G3" t="s">
        <v>246</v>
      </c>
      <c r="H3" t="s">
        <v>170</v>
      </c>
      <c r="I3" t="s">
        <v>171</v>
      </c>
      <c r="J3" t="s">
        <v>43</v>
      </c>
      <c r="K3" t="s">
        <v>258</v>
      </c>
      <c r="L3" t="s">
        <v>172</v>
      </c>
      <c r="M3" t="s">
        <v>173</v>
      </c>
      <c r="N3">
        <v>500000</v>
      </c>
      <c r="O3" t="s">
        <v>174</v>
      </c>
      <c r="P3" t="s">
        <v>176</v>
      </c>
      <c r="Q3" t="b">
        <v>1</v>
      </c>
    </row>
    <row r="4" spans="1:23" x14ac:dyDescent="0.35">
      <c r="A4">
        <v>3</v>
      </c>
      <c r="B4" t="s">
        <v>4</v>
      </c>
      <c r="C4" t="s">
        <v>20</v>
      </c>
      <c r="D4" t="s">
        <v>168</v>
      </c>
      <c r="E4" t="s">
        <v>249</v>
      </c>
      <c r="F4" t="s">
        <v>169</v>
      </c>
      <c r="G4" t="s">
        <v>246</v>
      </c>
      <c r="H4" t="s">
        <v>170</v>
      </c>
      <c r="I4" t="s">
        <v>171</v>
      </c>
      <c r="J4" t="s">
        <v>44</v>
      </c>
      <c r="K4" t="s">
        <v>259</v>
      </c>
      <c r="L4" t="s">
        <v>172</v>
      </c>
      <c r="M4" t="s">
        <v>173</v>
      </c>
      <c r="N4">
        <v>200000</v>
      </c>
      <c r="O4" t="s">
        <v>174</v>
      </c>
      <c r="P4" t="s">
        <v>176</v>
      </c>
      <c r="Q4" t="b">
        <v>1</v>
      </c>
    </row>
    <row r="5" spans="1:23" x14ac:dyDescent="0.35">
      <c r="A5">
        <v>4</v>
      </c>
      <c r="B5" t="s">
        <v>4</v>
      </c>
      <c r="C5" t="s">
        <v>15</v>
      </c>
      <c r="D5" t="s">
        <v>168</v>
      </c>
      <c r="E5" t="s">
        <v>249</v>
      </c>
      <c r="F5" t="s">
        <v>169</v>
      </c>
      <c r="G5" t="s">
        <v>246</v>
      </c>
      <c r="H5" t="s">
        <v>177</v>
      </c>
      <c r="I5" t="s">
        <v>178</v>
      </c>
      <c r="J5" t="s">
        <v>39</v>
      </c>
      <c r="K5" t="s">
        <v>260</v>
      </c>
      <c r="L5" t="s">
        <v>172</v>
      </c>
      <c r="M5" t="s">
        <v>173</v>
      </c>
      <c r="N5">
        <v>300000</v>
      </c>
      <c r="O5" t="s">
        <v>174</v>
      </c>
      <c r="P5" t="s">
        <v>179</v>
      </c>
      <c r="Q5" t="b">
        <v>1</v>
      </c>
    </row>
    <row r="6" spans="1:23" x14ac:dyDescent="0.35">
      <c r="A6">
        <v>5</v>
      </c>
      <c r="B6" t="s">
        <v>4</v>
      </c>
      <c r="C6" t="s">
        <v>16</v>
      </c>
      <c r="D6" t="s">
        <v>168</v>
      </c>
      <c r="E6" t="s">
        <v>249</v>
      </c>
      <c r="F6" t="s">
        <v>169</v>
      </c>
      <c r="G6" t="s">
        <v>246</v>
      </c>
      <c r="H6" t="s">
        <v>177</v>
      </c>
      <c r="I6" t="s">
        <v>178</v>
      </c>
      <c r="J6" t="s">
        <v>40</v>
      </c>
      <c r="K6" t="s">
        <v>261</v>
      </c>
      <c r="L6" t="s">
        <v>172</v>
      </c>
      <c r="M6" t="s">
        <v>173</v>
      </c>
      <c r="N6">
        <v>300000</v>
      </c>
      <c r="O6" t="s">
        <v>174</v>
      </c>
      <c r="P6" t="s">
        <v>179</v>
      </c>
      <c r="Q6" t="b">
        <v>1</v>
      </c>
    </row>
    <row r="7" spans="1:23" x14ac:dyDescent="0.35">
      <c r="A7">
        <v>6</v>
      </c>
      <c r="B7" t="s">
        <v>4</v>
      </c>
      <c r="C7" t="s">
        <v>28</v>
      </c>
      <c r="D7" t="s">
        <v>168</v>
      </c>
      <c r="E7" t="s">
        <v>249</v>
      </c>
      <c r="F7" t="s">
        <v>169</v>
      </c>
      <c r="G7" t="s">
        <v>246</v>
      </c>
      <c r="H7" t="s">
        <v>177</v>
      </c>
      <c r="I7" t="s">
        <v>178</v>
      </c>
      <c r="J7" t="s">
        <v>49</v>
      </c>
      <c r="K7" t="s">
        <v>262</v>
      </c>
      <c r="L7" t="s">
        <v>172</v>
      </c>
      <c r="M7" t="s">
        <v>173</v>
      </c>
      <c r="N7">
        <v>1500000</v>
      </c>
      <c r="O7" t="s">
        <v>174</v>
      </c>
      <c r="P7" t="s">
        <v>179</v>
      </c>
      <c r="Q7" t="b">
        <v>1</v>
      </c>
    </row>
    <row r="8" spans="1:23" x14ac:dyDescent="0.35">
      <c r="A8">
        <v>7</v>
      </c>
      <c r="B8" t="s">
        <v>4</v>
      </c>
      <c r="C8" t="s">
        <v>5</v>
      </c>
      <c r="D8" t="s">
        <v>180</v>
      </c>
      <c r="E8" t="s">
        <v>250</v>
      </c>
      <c r="F8" t="s">
        <v>181</v>
      </c>
      <c r="G8" t="s">
        <v>299</v>
      </c>
      <c r="H8" t="s">
        <v>182</v>
      </c>
      <c r="I8" t="s">
        <v>183</v>
      </c>
      <c r="J8" t="s">
        <v>29</v>
      </c>
      <c r="K8" t="s">
        <v>263</v>
      </c>
      <c r="L8" t="s">
        <v>184</v>
      </c>
      <c r="M8" t="s">
        <v>346</v>
      </c>
      <c r="N8">
        <v>350000</v>
      </c>
      <c r="O8" t="s">
        <v>174</v>
      </c>
      <c r="P8" t="s">
        <v>179</v>
      </c>
      <c r="Q8" t="b">
        <v>1</v>
      </c>
    </row>
    <row r="9" spans="1:23" x14ac:dyDescent="0.35">
      <c r="A9">
        <v>8</v>
      </c>
      <c r="B9" t="s">
        <v>4</v>
      </c>
      <c r="C9" t="s">
        <v>6</v>
      </c>
      <c r="D9" t="s">
        <v>180</v>
      </c>
      <c r="E9" t="s">
        <v>250</v>
      </c>
      <c r="F9" t="s">
        <v>181</v>
      </c>
      <c r="G9" t="s">
        <v>299</v>
      </c>
      <c r="H9" t="s">
        <v>182</v>
      </c>
      <c r="I9" t="s">
        <v>183</v>
      </c>
      <c r="J9" t="s">
        <v>30</v>
      </c>
      <c r="K9" t="s">
        <v>264</v>
      </c>
      <c r="L9" t="s">
        <v>184</v>
      </c>
      <c r="M9" t="s">
        <v>346</v>
      </c>
      <c r="N9">
        <v>400000</v>
      </c>
      <c r="O9" t="s">
        <v>174</v>
      </c>
      <c r="P9" t="s">
        <v>179</v>
      </c>
      <c r="Q9" t="b">
        <v>1</v>
      </c>
    </row>
    <row r="10" spans="1:23" x14ac:dyDescent="0.35">
      <c r="A10">
        <v>9</v>
      </c>
      <c r="B10" t="s">
        <v>4</v>
      </c>
      <c r="C10" t="s">
        <v>7</v>
      </c>
      <c r="D10" t="s">
        <v>180</v>
      </c>
      <c r="E10" t="s">
        <v>250</v>
      </c>
      <c r="F10" t="s">
        <v>181</v>
      </c>
      <c r="G10" t="s">
        <v>299</v>
      </c>
      <c r="H10" t="s">
        <v>300</v>
      </c>
      <c r="I10" t="s">
        <v>301</v>
      </c>
      <c r="J10" t="s">
        <v>31</v>
      </c>
      <c r="K10" t="s">
        <v>265</v>
      </c>
      <c r="L10" t="s">
        <v>184</v>
      </c>
      <c r="M10" t="s">
        <v>346</v>
      </c>
      <c r="N10">
        <v>200000</v>
      </c>
      <c r="O10" t="s">
        <v>174</v>
      </c>
      <c r="P10" t="s">
        <v>179</v>
      </c>
      <c r="Q10" t="b">
        <v>1</v>
      </c>
    </row>
    <row r="11" spans="1:23" x14ac:dyDescent="0.35">
      <c r="A11">
        <v>10</v>
      </c>
      <c r="B11" t="s">
        <v>4</v>
      </c>
      <c r="C11" t="s">
        <v>8</v>
      </c>
      <c r="D11" t="s">
        <v>180</v>
      </c>
      <c r="E11" t="s">
        <v>250</v>
      </c>
      <c r="F11" t="s">
        <v>181</v>
      </c>
      <c r="G11" t="s">
        <v>299</v>
      </c>
      <c r="H11" t="s">
        <v>300</v>
      </c>
      <c r="I11" t="s">
        <v>301</v>
      </c>
      <c r="J11" t="s">
        <v>32</v>
      </c>
      <c r="K11" t="s">
        <v>266</v>
      </c>
      <c r="L11" t="s">
        <v>184</v>
      </c>
      <c r="M11" t="s">
        <v>346</v>
      </c>
      <c r="N11">
        <v>250000</v>
      </c>
      <c r="O11" t="s">
        <v>174</v>
      </c>
      <c r="P11" t="s">
        <v>179</v>
      </c>
      <c r="Q11" t="b">
        <v>1</v>
      </c>
    </row>
    <row r="12" spans="1:23" x14ac:dyDescent="0.35">
      <c r="A12">
        <v>11</v>
      </c>
      <c r="B12" t="s">
        <v>4</v>
      </c>
      <c r="C12" t="s">
        <v>9</v>
      </c>
      <c r="D12" t="s">
        <v>180</v>
      </c>
      <c r="E12" t="s">
        <v>250</v>
      </c>
      <c r="F12" t="s">
        <v>181</v>
      </c>
      <c r="G12" t="s">
        <v>299</v>
      </c>
      <c r="H12" t="s">
        <v>300</v>
      </c>
      <c r="I12" t="s">
        <v>301</v>
      </c>
      <c r="J12" t="s">
        <v>33</v>
      </c>
      <c r="K12" t="s">
        <v>267</v>
      </c>
      <c r="L12" t="s">
        <v>184</v>
      </c>
      <c r="M12" t="s">
        <v>346</v>
      </c>
      <c r="N12">
        <v>300000</v>
      </c>
      <c r="O12" t="s">
        <v>174</v>
      </c>
      <c r="P12" t="s">
        <v>179</v>
      </c>
      <c r="Q12" t="b">
        <v>1</v>
      </c>
    </row>
    <row r="13" spans="1:23" x14ac:dyDescent="0.35">
      <c r="A13">
        <v>12</v>
      </c>
      <c r="B13" t="s">
        <v>4</v>
      </c>
      <c r="C13" t="s">
        <v>10</v>
      </c>
      <c r="D13" t="s">
        <v>180</v>
      </c>
      <c r="E13" t="s">
        <v>250</v>
      </c>
      <c r="F13" t="s">
        <v>181</v>
      </c>
      <c r="G13" t="s">
        <v>299</v>
      </c>
      <c r="H13" t="s">
        <v>302</v>
      </c>
      <c r="I13" t="s">
        <v>304</v>
      </c>
      <c r="J13" t="s">
        <v>34</v>
      </c>
      <c r="K13" t="s">
        <v>268</v>
      </c>
      <c r="L13" t="s">
        <v>184</v>
      </c>
      <c r="M13" t="s">
        <v>346</v>
      </c>
      <c r="N13">
        <v>250000</v>
      </c>
      <c r="O13" t="s">
        <v>174</v>
      </c>
      <c r="P13" t="s">
        <v>179</v>
      </c>
      <c r="Q13" t="b">
        <v>1</v>
      </c>
    </row>
    <row r="14" spans="1:23" x14ac:dyDescent="0.35">
      <c r="A14">
        <v>13</v>
      </c>
      <c r="B14" t="s">
        <v>4</v>
      </c>
      <c r="C14" t="s">
        <v>11</v>
      </c>
      <c r="D14" t="s">
        <v>180</v>
      </c>
      <c r="E14" t="s">
        <v>250</v>
      </c>
      <c r="F14" t="s">
        <v>181</v>
      </c>
      <c r="G14" t="s">
        <v>299</v>
      </c>
      <c r="H14" t="s">
        <v>302</v>
      </c>
      <c r="I14" t="s">
        <v>304</v>
      </c>
      <c r="J14" t="s">
        <v>35</v>
      </c>
      <c r="K14" t="s">
        <v>269</v>
      </c>
      <c r="L14" t="s">
        <v>184</v>
      </c>
      <c r="M14" t="s">
        <v>346</v>
      </c>
      <c r="N14">
        <v>300000</v>
      </c>
      <c r="O14" t="s">
        <v>174</v>
      </c>
      <c r="P14" t="s">
        <v>179</v>
      </c>
      <c r="Q14" t="b">
        <v>1</v>
      </c>
    </row>
    <row r="15" spans="1:23" x14ac:dyDescent="0.35">
      <c r="A15">
        <v>14</v>
      </c>
      <c r="B15" t="s">
        <v>4</v>
      </c>
      <c r="C15" t="s">
        <v>12</v>
      </c>
      <c r="D15" t="s">
        <v>180</v>
      </c>
      <c r="E15" t="s">
        <v>250</v>
      </c>
      <c r="F15" t="s">
        <v>181</v>
      </c>
      <c r="G15" t="s">
        <v>299</v>
      </c>
      <c r="H15" t="s">
        <v>302</v>
      </c>
      <c r="I15" t="s">
        <v>304</v>
      </c>
      <c r="J15" t="s">
        <v>36</v>
      </c>
      <c r="K15" t="s">
        <v>270</v>
      </c>
      <c r="L15" t="s">
        <v>184</v>
      </c>
      <c r="M15" t="s">
        <v>346</v>
      </c>
      <c r="N15">
        <v>350000</v>
      </c>
      <c r="O15" t="s">
        <v>174</v>
      </c>
      <c r="P15" t="s">
        <v>179</v>
      </c>
      <c r="Q15" t="b">
        <v>1</v>
      </c>
    </row>
    <row r="16" spans="1:23" x14ac:dyDescent="0.35">
      <c r="A16">
        <v>15</v>
      </c>
      <c r="B16" t="s">
        <v>4</v>
      </c>
      <c r="C16" t="s">
        <v>13</v>
      </c>
      <c r="D16" t="s">
        <v>180</v>
      </c>
      <c r="E16" t="s">
        <v>250</v>
      </c>
      <c r="F16" t="s">
        <v>181</v>
      </c>
      <c r="G16" t="s">
        <v>299</v>
      </c>
      <c r="H16" t="s">
        <v>303</v>
      </c>
      <c r="I16" t="s">
        <v>305</v>
      </c>
      <c r="J16" t="s">
        <v>37</v>
      </c>
      <c r="K16" t="s">
        <v>271</v>
      </c>
      <c r="L16" t="s">
        <v>184</v>
      </c>
      <c r="M16" t="s">
        <v>346</v>
      </c>
      <c r="N16">
        <v>300000</v>
      </c>
      <c r="O16" t="s">
        <v>174</v>
      </c>
      <c r="P16" t="s">
        <v>179</v>
      </c>
      <c r="Q16" t="b">
        <v>1</v>
      </c>
    </row>
    <row r="17" spans="1:17" x14ac:dyDescent="0.35">
      <c r="A17">
        <v>16</v>
      </c>
      <c r="B17" t="s">
        <v>4</v>
      </c>
      <c r="C17" t="s">
        <v>14</v>
      </c>
      <c r="D17" t="s">
        <v>180</v>
      </c>
      <c r="E17" t="s">
        <v>250</v>
      </c>
      <c r="F17" t="s">
        <v>181</v>
      </c>
      <c r="G17" t="s">
        <v>299</v>
      </c>
      <c r="H17" t="s">
        <v>303</v>
      </c>
      <c r="I17" t="s">
        <v>305</v>
      </c>
      <c r="J17" t="s">
        <v>38</v>
      </c>
      <c r="K17" t="s">
        <v>272</v>
      </c>
      <c r="L17" t="s">
        <v>184</v>
      </c>
      <c r="M17" t="s">
        <v>346</v>
      </c>
      <c r="N17">
        <v>400000</v>
      </c>
      <c r="O17" t="s">
        <v>174</v>
      </c>
      <c r="P17" t="s">
        <v>179</v>
      </c>
      <c r="Q17" t="b">
        <v>1</v>
      </c>
    </row>
    <row r="18" spans="1:17" x14ac:dyDescent="0.35">
      <c r="A18">
        <v>17</v>
      </c>
      <c r="B18" t="s">
        <v>4</v>
      </c>
      <c r="C18" t="s">
        <v>94</v>
      </c>
      <c r="D18" t="s">
        <v>180</v>
      </c>
      <c r="E18" t="s">
        <v>250</v>
      </c>
      <c r="F18" t="s">
        <v>186</v>
      </c>
      <c r="G18" t="s">
        <v>247</v>
      </c>
      <c r="H18" t="s">
        <v>187</v>
      </c>
      <c r="I18" t="s">
        <v>188</v>
      </c>
      <c r="J18" t="s">
        <v>189</v>
      </c>
      <c r="K18" t="s">
        <v>273</v>
      </c>
      <c r="L18" t="s">
        <v>190</v>
      </c>
      <c r="M18" t="s">
        <v>191</v>
      </c>
      <c r="N18">
        <v>200000</v>
      </c>
      <c r="O18" t="s">
        <v>174</v>
      </c>
      <c r="P18" t="s">
        <v>192</v>
      </c>
      <c r="Q18" t="b">
        <v>1</v>
      </c>
    </row>
    <row r="19" spans="1:17" x14ac:dyDescent="0.35">
      <c r="A19">
        <v>18</v>
      </c>
      <c r="B19" t="s">
        <v>4</v>
      </c>
      <c r="C19" t="s">
        <v>95</v>
      </c>
      <c r="D19" t="s">
        <v>180</v>
      </c>
      <c r="E19" t="s">
        <v>250</v>
      </c>
      <c r="F19" t="s">
        <v>186</v>
      </c>
      <c r="G19" t="s">
        <v>247</v>
      </c>
      <c r="H19" t="s">
        <v>187</v>
      </c>
      <c r="I19" t="s">
        <v>188</v>
      </c>
      <c r="J19" t="s">
        <v>193</v>
      </c>
      <c r="K19" t="s">
        <v>274</v>
      </c>
      <c r="L19" t="s">
        <v>190</v>
      </c>
      <c r="M19" t="s">
        <v>191</v>
      </c>
      <c r="N19">
        <v>130000</v>
      </c>
      <c r="O19" t="s">
        <v>174</v>
      </c>
      <c r="P19" t="s">
        <v>192</v>
      </c>
      <c r="Q19" t="b">
        <v>1</v>
      </c>
    </row>
    <row r="20" spans="1:17" x14ac:dyDescent="0.35">
      <c r="A20">
        <v>19</v>
      </c>
      <c r="B20" t="s">
        <v>4</v>
      </c>
      <c r="C20" t="s">
        <v>17</v>
      </c>
      <c r="D20" t="s">
        <v>180</v>
      </c>
      <c r="E20" t="s">
        <v>250</v>
      </c>
      <c r="F20" t="s">
        <v>186</v>
      </c>
      <c r="G20" t="s">
        <v>247</v>
      </c>
      <c r="H20" t="s">
        <v>187</v>
      </c>
      <c r="I20" t="s">
        <v>188</v>
      </c>
      <c r="J20" t="s">
        <v>41</v>
      </c>
      <c r="K20" t="s">
        <v>275</v>
      </c>
      <c r="L20" t="s">
        <v>194</v>
      </c>
      <c r="M20" t="s">
        <v>348</v>
      </c>
      <c r="N20">
        <v>150000</v>
      </c>
      <c r="O20" t="s">
        <v>174</v>
      </c>
      <c r="P20" t="s">
        <v>179</v>
      </c>
      <c r="Q20" t="b">
        <v>1</v>
      </c>
    </row>
    <row r="21" spans="1:17" x14ac:dyDescent="0.35">
      <c r="A21">
        <v>20</v>
      </c>
      <c r="B21" t="s">
        <v>4</v>
      </c>
      <c r="C21" t="s">
        <v>97</v>
      </c>
      <c r="D21" t="s">
        <v>180</v>
      </c>
      <c r="E21" t="s">
        <v>250</v>
      </c>
      <c r="F21" t="s">
        <v>186</v>
      </c>
      <c r="G21" t="s">
        <v>247</v>
      </c>
      <c r="H21" t="s">
        <v>187</v>
      </c>
      <c r="I21" t="s">
        <v>188</v>
      </c>
      <c r="J21" t="s">
        <v>118</v>
      </c>
      <c r="K21" t="s">
        <v>276</v>
      </c>
      <c r="L21" t="s">
        <v>194</v>
      </c>
      <c r="M21" t="s">
        <v>348</v>
      </c>
      <c r="N21">
        <v>160000</v>
      </c>
      <c r="O21" t="s">
        <v>174</v>
      </c>
      <c r="P21" t="s">
        <v>179</v>
      </c>
      <c r="Q21" t="b">
        <v>1</v>
      </c>
    </row>
    <row r="22" spans="1:17" x14ac:dyDescent="0.35">
      <c r="A22">
        <v>21</v>
      </c>
      <c r="B22" t="s">
        <v>4</v>
      </c>
      <c r="C22" t="s">
        <v>98</v>
      </c>
      <c r="D22" t="s">
        <v>180</v>
      </c>
      <c r="E22" t="s">
        <v>250</v>
      </c>
      <c r="F22" t="s">
        <v>186</v>
      </c>
      <c r="G22" t="s">
        <v>247</v>
      </c>
      <c r="H22" t="s">
        <v>195</v>
      </c>
      <c r="I22" t="s">
        <v>306</v>
      </c>
      <c r="J22" t="s">
        <v>196</v>
      </c>
      <c r="K22" t="s">
        <v>277</v>
      </c>
      <c r="L22" t="s">
        <v>172</v>
      </c>
      <c r="M22" t="s">
        <v>173</v>
      </c>
      <c r="N22">
        <v>300000</v>
      </c>
      <c r="O22" t="s">
        <v>174</v>
      </c>
      <c r="P22" t="s">
        <v>179</v>
      </c>
      <c r="Q22" t="b">
        <v>1</v>
      </c>
    </row>
    <row r="23" spans="1:17" x14ac:dyDescent="0.35">
      <c r="A23">
        <v>22</v>
      </c>
      <c r="B23" t="s">
        <v>4</v>
      </c>
      <c r="C23" t="s">
        <v>99</v>
      </c>
      <c r="D23" t="s">
        <v>180</v>
      </c>
      <c r="E23" t="s">
        <v>250</v>
      </c>
      <c r="F23" t="s">
        <v>186</v>
      </c>
      <c r="G23" t="s">
        <v>247</v>
      </c>
      <c r="H23" t="s">
        <v>195</v>
      </c>
      <c r="I23" t="s">
        <v>306</v>
      </c>
      <c r="J23" t="s">
        <v>120</v>
      </c>
      <c r="K23" t="s">
        <v>278</v>
      </c>
      <c r="L23" t="s">
        <v>172</v>
      </c>
      <c r="M23" t="s">
        <v>173</v>
      </c>
      <c r="N23">
        <v>200000</v>
      </c>
      <c r="O23" t="s">
        <v>174</v>
      </c>
      <c r="P23" t="s">
        <v>179</v>
      </c>
      <c r="Q23" t="b">
        <v>1</v>
      </c>
    </row>
    <row r="24" spans="1:17" x14ac:dyDescent="0.35">
      <c r="A24">
        <v>23</v>
      </c>
      <c r="B24" t="s">
        <v>4</v>
      </c>
      <c r="C24" t="s">
        <v>100</v>
      </c>
      <c r="D24" t="s">
        <v>180</v>
      </c>
      <c r="E24" t="s">
        <v>250</v>
      </c>
      <c r="F24" t="s">
        <v>186</v>
      </c>
      <c r="G24" t="s">
        <v>247</v>
      </c>
      <c r="H24" t="s">
        <v>195</v>
      </c>
      <c r="I24" t="s">
        <v>306</v>
      </c>
      <c r="J24" t="s">
        <v>197</v>
      </c>
      <c r="K24" t="s">
        <v>279</v>
      </c>
      <c r="L24" t="s">
        <v>172</v>
      </c>
      <c r="M24" t="s">
        <v>173</v>
      </c>
      <c r="N24">
        <v>300000</v>
      </c>
      <c r="O24" t="s">
        <v>174</v>
      </c>
      <c r="P24" t="s">
        <v>179</v>
      </c>
      <c r="Q24" t="b">
        <v>1</v>
      </c>
    </row>
    <row r="25" spans="1:17" x14ac:dyDescent="0.35">
      <c r="A25">
        <v>24</v>
      </c>
      <c r="B25" t="s">
        <v>4</v>
      </c>
      <c r="C25" t="s">
        <v>101</v>
      </c>
      <c r="D25" t="s">
        <v>180</v>
      </c>
      <c r="E25" t="s">
        <v>250</v>
      </c>
      <c r="F25" t="s">
        <v>186</v>
      </c>
      <c r="G25" t="s">
        <v>247</v>
      </c>
      <c r="H25" t="s">
        <v>195</v>
      </c>
      <c r="I25" t="s">
        <v>306</v>
      </c>
      <c r="J25" t="s">
        <v>198</v>
      </c>
      <c r="K25" t="s">
        <v>280</v>
      </c>
      <c r="L25" t="s">
        <v>172</v>
      </c>
      <c r="M25" t="s">
        <v>173</v>
      </c>
      <c r="N25">
        <v>200000</v>
      </c>
      <c r="O25" t="s">
        <v>174</v>
      </c>
      <c r="P25" t="s">
        <v>179</v>
      </c>
      <c r="Q25" t="b">
        <v>1</v>
      </c>
    </row>
    <row r="26" spans="1:17" x14ac:dyDescent="0.35">
      <c r="A26">
        <v>25</v>
      </c>
      <c r="B26" t="s">
        <v>4</v>
      </c>
      <c r="C26" t="s">
        <v>102</v>
      </c>
      <c r="D26" t="s">
        <v>180</v>
      </c>
      <c r="E26" t="s">
        <v>250</v>
      </c>
      <c r="F26" t="s">
        <v>186</v>
      </c>
      <c r="G26" t="s">
        <v>247</v>
      </c>
      <c r="H26" t="s">
        <v>195</v>
      </c>
      <c r="I26" t="s">
        <v>306</v>
      </c>
      <c r="J26" t="s">
        <v>122</v>
      </c>
      <c r="K26" t="s">
        <v>281</v>
      </c>
      <c r="L26" t="s">
        <v>172</v>
      </c>
      <c r="M26" t="s">
        <v>173</v>
      </c>
      <c r="N26">
        <v>200000</v>
      </c>
      <c r="O26" t="s">
        <v>174</v>
      </c>
      <c r="P26" t="s">
        <v>179</v>
      </c>
      <c r="Q26" t="b">
        <v>1</v>
      </c>
    </row>
    <row r="27" spans="1:17" x14ac:dyDescent="0.35">
      <c r="A27">
        <v>26</v>
      </c>
      <c r="B27" t="s">
        <v>4</v>
      </c>
      <c r="C27" t="s">
        <v>103</v>
      </c>
      <c r="D27" t="s">
        <v>180</v>
      </c>
      <c r="E27" t="s">
        <v>250</v>
      </c>
      <c r="F27" t="s">
        <v>186</v>
      </c>
      <c r="G27" t="s">
        <v>247</v>
      </c>
      <c r="H27" t="s">
        <v>199</v>
      </c>
      <c r="I27" t="s">
        <v>200</v>
      </c>
      <c r="J27" t="s">
        <v>123</v>
      </c>
      <c r="K27" t="s">
        <v>282</v>
      </c>
      <c r="L27" t="s">
        <v>172</v>
      </c>
      <c r="M27" t="s">
        <v>173</v>
      </c>
      <c r="N27">
        <v>350000</v>
      </c>
      <c r="O27" t="s">
        <v>174</v>
      </c>
      <c r="P27" t="s">
        <v>179</v>
      </c>
      <c r="Q27" t="b">
        <v>1</v>
      </c>
    </row>
    <row r="28" spans="1:17" x14ac:dyDescent="0.35">
      <c r="A28">
        <v>27</v>
      </c>
      <c r="B28" t="s">
        <v>4</v>
      </c>
      <c r="C28" t="s">
        <v>104</v>
      </c>
      <c r="D28" t="s">
        <v>180</v>
      </c>
      <c r="E28" t="s">
        <v>250</v>
      </c>
      <c r="F28" t="s">
        <v>186</v>
      </c>
      <c r="G28" t="s">
        <v>247</v>
      </c>
      <c r="H28" t="s">
        <v>199</v>
      </c>
      <c r="I28" t="s">
        <v>200</v>
      </c>
      <c r="J28" t="s">
        <v>124</v>
      </c>
      <c r="K28" t="s">
        <v>283</v>
      </c>
      <c r="L28" t="s">
        <v>172</v>
      </c>
      <c r="M28" t="s">
        <v>173</v>
      </c>
      <c r="N28">
        <v>150000</v>
      </c>
      <c r="O28" t="s">
        <v>174</v>
      </c>
      <c r="P28" t="s">
        <v>179</v>
      </c>
      <c r="Q28" t="b">
        <v>1</v>
      </c>
    </row>
    <row r="29" spans="1:17" x14ac:dyDescent="0.35">
      <c r="A29">
        <v>28</v>
      </c>
      <c r="B29" t="s">
        <v>4</v>
      </c>
      <c r="C29" t="s">
        <v>201</v>
      </c>
      <c r="D29" t="s">
        <v>180</v>
      </c>
      <c r="E29" t="s">
        <v>250</v>
      </c>
      <c r="F29" t="s">
        <v>186</v>
      </c>
      <c r="G29" t="s">
        <v>247</v>
      </c>
      <c r="H29" t="s">
        <v>202</v>
      </c>
      <c r="I29" t="s">
        <v>203</v>
      </c>
      <c r="J29" t="s">
        <v>204</v>
      </c>
      <c r="K29" t="s">
        <v>284</v>
      </c>
      <c r="L29" t="s">
        <v>172</v>
      </c>
      <c r="M29" t="s">
        <v>173</v>
      </c>
      <c r="N29">
        <v>300000</v>
      </c>
      <c r="O29" t="s">
        <v>174</v>
      </c>
      <c r="P29" t="s">
        <v>179</v>
      </c>
      <c r="Q29" t="b">
        <v>1</v>
      </c>
    </row>
    <row r="30" spans="1:17" x14ac:dyDescent="0.35">
      <c r="A30">
        <v>29</v>
      </c>
      <c r="B30" t="s">
        <v>4</v>
      </c>
      <c r="C30" t="s">
        <v>205</v>
      </c>
      <c r="D30" t="s">
        <v>180</v>
      </c>
      <c r="E30" t="s">
        <v>250</v>
      </c>
      <c r="F30" t="s">
        <v>186</v>
      </c>
      <c r="G30" t="s">
        <v>247</v>
      </c>
      <c r="H30" t="s">
        <v>202</v>
      </c>
      <c r="I30" t="s">
        <v>203</v>
      </c>
      <c r="J30" t="s">
        <v>206</v>
      </c>
      <c r="K30" t="s">
        <v>285</v>
      </c>
      <c r="L30" t="s">
        <v>172</v>
      </c>
      <c r="M30" t="s">
        <v>173</v>
      </c>
      <c r="N30">
        <v>500000</v>
      </c>
      <c r="O30" t="s">
        <v>174</v>
      </c>
      <c r="P30" t="s">
        <v>179</v>
      </c>
      <c r="Q30" t="b">
        <v>1</v>
      </c>
    </row>
    <row r="31" spans="1:17" x14ac:dyDescent="0.35">
      <c r="A31">
        <v>30</v>
      </c>
      <c r="B31" t="s">
        <v>4</v>
      </c>
      <c r="C31" t="s">
        <v>207</v>
      </c>
      <c r="D31" t="s">
        <v>180</v>
      </c>
      <c r="E31" t="s">
        <v>250</v>
      </c>
      <c r="F31" t="s">
        <v>208</v>
      </c>
      <c r="G31" t="s">
        <v>248</v>
      </c>
      <c r="H31" t="s">
        <v>209</v>
      </c>
      <c r="I31" t="s">
        <v>210</v>
      </c>
      <c r="J31" t="s">
        <v>211</v>
      </c>
      <c r="K31" t="s">
        <v>286</v>
      </c>
      <c r="L31" t="s">
        <v>190</v>
      </c>
      <c r="M31" t="s">
        <v>191</v>
      </c>
      <c r="N31">
        <v>150000</v>
      </c>
      <c r="O31" t="s">
        <v>174</v>
      </c>
      <c r="P31" t="s">
        <v>212</v>
      </c>
      <c r="Q31" t="b">
        <v>1</v>
      </c>
    </row>
    <row r="32" spans="1:17" x14ac:dyDescent="0.35">
      <c r="A32">
        <v>31</v>
      </c>
      <c r="B32" t="s">
        <v>4</v>
      </c>
      <c r="C32" t="s">
        <v>213</v>
      </c>
      <c r="D32" t="s">
        <v>180</v>
      </c>
      <c r="E32" t="s">
        <v>250</v>
      </c>
      <c r="F32" t="s">
        <v>208</v>
      </c>
      <c r="G32" t="s">
        <v>248</v>
      </c>
      <c r="H32" t="s">
        <v>209</v>
      </c>
      <c r="I32" t="s">
        <v>210</v>
      </c>
      <c r="J32" t="s">
        <v>214</v>
      </c>
      <c r="K32" t="s">
        <v>287</v>
      </c>
      <c r="L32" t="s">
        <v>190</v>
      </c>
      <c r="M32" t="s">
        <v>191</v>
      </c>
      <c r="N32">
        <v>200000</v>
      </c>
      <c r="O32" t="s">
        <v>174</v>
      </c>
      <c r="P32" t="s">
        <v>212</v>
      </c>
      <c r="Q32" t="b">
        <v>1</v>
      </c>
    </row>
    <row r="33" spans="1:17" x14ac:dyDescent="0.35">
      <c r="A33">
        <v>32</v>
      </c>
      <c r="B33" t="s">
        <v>4</v>
      </c>
      <c r="C33" t="s">
        <v>215</v>
      </c>
      <c r="D33" t="s">
        <v>180</v>
      </c>
      <c r="E33" t="s">
        <v>250</v>
      </c>
      <c r="F33" t="s">
        <v>208</v>
      </c>
      <c r="G33" t="s">
        <v>248</v>
      </c>
      <c r="H33" t="s">
        <v>216</v>
      </c>
      <c r="I33" t="s">
        <v>217</v>
      </c>
      <c r="J33" t="s">
        <v>218</v>
      </c>
      <c r="K33" t="s">
        <v>288</v>
      </c>
      <c r="L33" t="s">
        <v>190</v>
      </c>
      <c r="M33" t="s">
        <v>191</v>
      </c>
      <c r="N33">
        <v>100000</v>
      </c>
      <c r="O33" t="s">
        <v>174</v>
      </c>
      <c r="P33" t="s">
        <v>212</v>
      </c>
      <c r="Q33" t="b">
        <v>1</v>
      </c>
    </row>
    <row r="34" spans="1:17" x14ac:dyDescent="0.35">
      <c r="A34">
        <v>33</v>
      </c>
      <c r="B34" t="s">
        <v>4</v>
      </c>
      <c r="C34" t="s">
        <v>219</v>
      </c>
      <c r="D34" t="s">
        <v>180</v>
      </c>
      <c r="E34" t="s">
        <v>250</v>
      </c>
      <c r="F34" t="s">
        <v>208</v>
      </c>
      <c r="G34" t="s">
        <v>248</v>
      </c>
      <c r="H34" t="s">
        <v>216</v>
      </c>
      <c r="I34" t="s">
        <v>217</v>
      </c>
      <c r="J34" t="s">
        <v>220</v>
      </c>
      <c r="K34" t="s">
        <v>289</v>
      </c>
      <c r="L34" t="s">
        <v>190</v>
      </c>
      <c r="M34" t="s">
        <v>191</v>
      </c>
      <c r="N34">
        <v>150000</v>
      </c>
      <c r="O34" t="s">
        <v>174</v>
      </c>
      <c r="P34" t="s">
        <v>212</v>
      </c>
      <c r="Q34" t="b">
        <v>1</v>
      </c>
    </row>
    <row r="35" spans="1:17" x14ac:dyDescent="0.35">
      <c r="A35">
        <v>34</v>
      </c>
      <c r="B35" t="s">
        <v>4</v>
      </c>
      <c r="C35" t="s">
        <v>26</v>
      </c>
      <c r="D35" t="s">
        <v>180</v>
      </c>
      <c r="E35" t="s">
        <v>250</v>
      </c>
      <c r="F35" t="s">
        <v>221</v>
      </c>
      <c r="G35" t="s">
        <v>295</v>
      </c>
      <c r="H35" t="s">
        <v>222</v>
      </c>
      <c r="I35" t="s">
        <v>223</v>
      </c>
      <c r="J35" t="s">
        <v>47</v>
      </c>
      <c r="K35" t="s">
        <v>290</v>
      </c>
      <c r="L35" t="s">
        <v>172</v>
      </c>
      <c r="M35" t="s">
        <v>173</v>
      </c>
      <c r="N35">
        <v>50000</v>
      </c>
      <c r="O35" t="s">
        <v>174</v>
      </c>
      <c r="P35" t="s">
        <v>179</v>
      </c>
      <c r="Q35" t="b">
        <v>1</v>
      </c>
    </row>
    <row r="36" spans="1:17" x14ac:dyDescent="0.35">
      <c r="A36">
        <v>35</v>
      </c>
      <c r="B36" t="s">
        <v>4</v>
      </c>
      <c r="C36" t="s">
        <v>27</v>
      </c>
      <c r="D36" t="s">
        <v>180</v>
      </c>
      <c r="E36" t="s">
        <v>250</v>
      </c>
      <c r="F36" t="s">
        <v>221</v>
      </c>
      <c r="G36" t="s">
        <v>295</v>
      </c>
      <c r="H36" t="s">
        <v>222</v>
      </c>
      <c r="I36" t="s">
        <v>223</v>
      </c>
      <c r="J36" t="s">
        <v>48</v>
      </c>
      <c r="K36" t="s">
        <v>291</v>
      </c>
      <c r="L36" t="s">
        <v>172</v>
      </c>
      <c r="M36" t="s">
        <v>173</v>
      </c>
      <c r="N36">
        <v>50000</v>
      </c>
      <c r="O36" t="s">
        <v>174</v>
      </c>
      <c r="P36" t="s">
        <v>179</v>
      </c>
      <c r="Q36" t="b">
        <v>1</v>
      </c>
    </row>
    <row r="37" spans="1:17" x14ac:dyDescent="0.35">
      <c r="A37">
        <v>36</v>
      </c>
      <c r="B37" t="s">
        <v>4</v>
      </c>
      <c r="C37" t="s">
        <v>224</v>
      </c>
      <c r="D37" t="s">
        <v>180</v>
      </c>
      <c r="E37" t="s">
        <v>250</v>
      </c>
      <c r="F37" t="s">
        <v>221</v>
      </c>
      <c r="G37" t="s">
        <v>295</v>
      </c>
      <c r="H37" t="s">
        <v>177</v>
      </c>
      <c r="I37" t="s">
        <v>178</v>
      </c>
      <c r="J37" t="s">
        <v>225</v>
      </c>
      <c r="K37" t="s">
        <v>292</v>
      </c>
      <c r="L37" t="s">
        <v>172</v>
      </c>
      <c r="M37" t="s">
        <v>173</v>
      </c>
      <c r="N37">
        <v>200000</v>
      </c>
      <c r="O37" t="s">
        <v>174</v>
      </c>
      <c r="P37" t="s">
        <v>179</v>
      </c>
      <c r="Q37" t="b">
        <v>1</v>
      </c>
    </row>
    <row r="38" spans="1:17" x14ac:dyDescent="0.35">
      <c r="A38">
        <v>37</v>
      </c>
      <c r="B38" t="s">
        <v>4</v>
      </c>
      <c r="C38" t="s">
        <v>21</v>
      </c>
      <c r="D38" t="s">
        <v>180</v>
      </c>
      <c r="E38" t="s">
        <v>250</v>
      </c>
      <c r="F38" t="s">
        <v>221</v>
      </c>
      <c r="G38" t="s">
        <v>295</v>
      </c>
      <c r="H38" t="s">
        <v>226</v>
      </c>
      <c r="I38" t="s">
        <v>307</v>
      </c>
      <c r="J38" t="s">
        <v>45</v>
      </c>
      <c r="K38" t="s">
        <v>293</v>
      </c>
      <c r="L38" t="s">
        <v>190</v>
      </c>
      <c r="M38" t="s">
        <v>191</v>
      </c>
      <c r="N38">
        <v>150000</v>
      </c>
      <c r="O38" t="s">
        <v>174</v>
      </c>
      <c r="P38" t="s">
        <v>212</v>
      </c>
      <c r="Q38" t="b">
        <v>1</v>
      </c>
    </row>
    <row r="39" spans="1:17" x14ac:dyDescent="0.35">
      <c r="A39">
        <v>38</v>
      </c>
      <c r="B39" t="s">
        <v>4</v>
      </c>
      <c r="C39" t="s">
        <v>22</v>
      </c>
      <c r="D39" t="s">
        <v>180</v>
      </c>
      <c r="E39" t="s">
        <v>250</v>
      </c>
      <c r="F39" t="s">
        <v>221</v>
      </c>
      <c r="G39" t="s">
        <v>295</v>
      </c>
      <c r="H39" t="s">
        <v>227</v>
      </c>
      <c r="I39" t="s">
        <v>228</v>
      </c>
      <c r="J39" t="s">
        <v>46</v>
      </c>
      <c r="K39" t="s">
        <v>294</v>
      </c>
      <c r="L39" t="s">
        <v>172</v>
      </c>
      <c r="M39" t="s">
        <v>173</v>
      </c>
      <c r="N39">
        <v>0</v>
      </c>
      <c r="O39" t="s">
        <v>174</v>
      </c>
      <c r="P39" t="s">
        <v>179</v>
      </c>
      <c r="Q3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L1" workbookViewId="0">
      <selection activeCell="P1" sqref="P1"/>
    </sheetView>
  </sheetViews>
  <sheetFormatPr defaultRowHeight="14.5" x14ac:dyDescent="0.35"/>
  <cols>
    <col min="1" max="1" width="9.7265625" bestFit="1" customWidth="1"/>
    <col min="2" max="2" width="8" bestFit="1" customWidth="1"/>
    <col min="3" max="3" width="9.6328125" bestFit="1" customWidth="1"/>
    <col min="4" max="4" width="15.7265625" customWidth="1"/>
    <col min="5" max="5" width="17.54296875" customWidth="1"/>
    <col min="6" max="7" width="18.81640625" customWidth="1"/>
    <col min="8" max="8" width="18.1796875" bestFit="1" customWidth="1"/>
    <col min="9" max="9" width="26.6328125" bestFit="1" customWidth="1"/>
    <col min="10" max="10" width="54.36328125" bestFit="1" customWidth="1"/>
    <col min="11" max="11" width="54.36328125" customWidth="1"/>
    <col min="12" max="12" width="6.90625" customWidth="1"/>
    <col min="13" max="13" width="11.7265625" bestFit="1" customWidth="1"/>
    <col min="14" max="14" width="12.453125" bestFit="1" customWidth="1"/>
    <col min="15" max="15" width="8" bestFit="1" customWidth="1"/>
    <col min="16" max="16" width="25.90625" bestFit="1" customWidth="1"/>
    <col min="17" max="17" width="5.7265625" bestFit="1" customWidth="1"/>
    <col min="18" max="18" width="9.81640625" bestFit="1" customWidth="1"/>
    <col min="19" max="19" width="7.54296875" bestFit="1" customWidth="1"/>
    <col min="20" max="20" width="12" bestFit="1" customWidth="1"/>
    <col min="21" max="21" width="15" bestFit="1" customWidth="1"/>
    <col min="22" max="22" width="15.1796875" bestFit="1" customWidth="1"/>
    <col min="23" max="23" width="17.08984375" bestFit="1" customWidth="1"/>
  </cols>
  <sheetData>
    <row r="1" spans="1:23" ht="29" x14ac:dyDescent="0.35">
      <c r="A1" s="3" t="s">
        <v>154</v>
      </c>
      <c r="B1" s="3" t="s">
        <v>155</v>
      </c>
      <c r="C1" s="3" t="s">
        <v>156</v>
      </c>
      <c r="D1" s="3" t="s">
        <v>251</v>
      </c>
      <c r="E1" s="3" t="s">
        <v>252</v>
      </c>
      <c r="F1" s="3" t="s">
        <v>253</v>
      </c>
      <c r="G1" s="3" t="s">
        <v>254</v>
      </c>
      <c r="H1" s="3" t="s">
        <v>157</v>
      </c>
      <c r="I1" s="3" t="s">
        <v>158</v>
      </c>
      <c r="J1" s="3" t="s">
        <v>255</v>
      </c>
      <c r="K1" s="3" t="s">
        <v>256</v>
      </c>
      <c r="L1" s="3" t="s">
        <v>296</v>
      </c>
      <c r="M1" s="3" t="s">
        <v>297</v>
      </c>
      <c r="N1" s="3" t="s">
        <v>159</v>
      </c>
      <c r="O1" s="3" t="s">
        <v>160</v>
      </c>
      <c r="P1" s="3" t="s">
        <v>161</v>
      </c>
      <c r="Q1" s="3" t="s">
        <v>298</v>
      </c>
      <c r="R1" s="1" t="s">
        <v>162</v>
      </c>
      <c r="S1" s="1" t="s">
        <v>163</v>
      </c>
      <c r="T1" s="1" t="s">
        <v>164</v>
      </c>
      <c r="U1" s="1" t="s">
        <v>165</v>
      </c>
      <c r="V1" s="1" t="s">
        <v>166</v>
      </c>
      <c r="W1" s="1" t="s">
        <v>167</v>
      </c>
    </row>
    <row r="2" spans="1:23" x14ac:dyDescent="0.35">
      <c r="A2">
        <v>1</v>
      </c>
      <c r="B2" t="s">
        <v>185</v>
      </c>
      <c r="C2" t="s">
        <v>18</v>
      </c>
      <c r="D2" t="s">
        <v>168</v>
      </c>
      <c r="E2" t="s">
        <v>249</v>
      </c>
      <c r="F2" t="s">
        <v>169</v>
      </c>
      <c r="G2" t="s">
        <v>246</v>
      </c>
      <c r="H2" t="s">
        <v>170</v>
      </c>
      <c r="I2" t="s">
        <v>171</v>
      </c>
      <c r="J2" t="s">
        <v>126</v>
      </c>
      <c r="K2" t="s">
        <v>343</v>
      </c>
      <c r="L2" t="s">
        <v>172</v>
      </c>
      <c r="M2" t="s">
        <v>173</v>
      </c>
      <c r="N2">
        <v>200000</v>
      </c>
      <c r="O2" t="s">
        <v>174</v>
      </c>
      <c r="P2" t="s">
        <v>179</v>
      </c>
      <c r="Q2" t="b">
        <v>1</v>
      </c>
    </row>
    <row r="3" spans="1:23" x14ac:dyDescent="0.35">
      <c r="A3">
        <v>2</v>
      </c>
      <c r="B3" t="s">
        <v>185</v>
      </c>
      <c r="C3" t="s">
        <v>105</v>
      </c>
      <c r="D3" t="s">
        <v>168</v>
      </c>
      <c r="E3" t="s">
        <v>249</v>
      </c>
      <c r="F3" t="s">
        <v>169</v>
      </c>
      <c r="G3" t="s">
        <v>246</v>
      </c>
      <c r="H3" t="s">
        <v>170</v>
      </c>
      <c r="I3" t="s">
        <v>171</v>
      </c>
      <c r="J3" t="s">
        <v>127</v>
      </c>
      <c r="K3" t="s">
        <v>344</v>
      </c>
      <c r="L3" t="s">
        <v>172</v>
      </c>
      <c r="M3" t="s">
        <v>173</v>
      </c>
      <c r="N3">
        <v>600000</v>
      </c>
      <c r="O3" t="s">
        <v>174</v>
      </c>
      <c r="P3" t="s">
        <v>179</v>
      </c>
      <c r="Q3" t="b">
        <v>1</v>
      </c>
    </row>
    <row r="4" spans="1:23" x14ac:dyDescent="0.35">
      <c r="A4">
        <v>3</v>
      </c>
      <c r="B4" t="s">
        <v>185</v>
      </c>
      <c r="C4" t="s">
        <v>19</v>
      </c>
      <c r="D4" t="s">
        <v>168</v>
      </c>
      <c r="E4" t="s">
        <v>249</v>
      </c>
      <c r="F4" t="s">
        <v>169</v>
      </c>
      <c r="G4" t="s">
        <v>246</v>
      </c>
      <c r="H4" t="s">
        <v>170</v>
      </c>
      <c r="I4" t="s">
        <v>171</v>
      </c>
      <c r="J4" t="s">
        <v>128</v>
      </c>
      <c r="K4" t="s">
        <v>345</v>
      </c>
      <c r="L4" t="s">
        <v>172</v>
      </c>
      <c r="M4" t="s">
        <v>173</v>
      </c>
      <c r="N4">
        <v>200000</v>
      </c>
      <c r="O4" t="s">
        <v>174</v>
      </c>
      <c r="P4" t="s">
        <v>179</v>
      </c>
      <c r="Q4" t="b">
        <v>1</v>
      </c>
    </row>
    <row r="5" spans="1:23" x14ac:dyDescent="0.35">
      <c r="A5">
        <v>4</v>
      </c>
      <c r="B5" t="s">
        <v>185</v>
      </c>
      <c r="C5" t="s">
        <v>20</v>
      </c>
      <c r="D5" t="s">
        <v>168</v>
      </c>
      <c r="E5" t="s">
        <v>249</v>
      </c>
      <c r="F5" t="s">
        <v>169</v>
      </c>
      <c r="G5" t="s">
        <v>246</v>
      </c>
      <c r="H5" t="s">
        <v>177</v>
      </c>
      <c r="I5" t="s">
        <v>178</v>
      </c>
      <c r="J5" t="s">
        <v>39</v>
      </c>
      <c r="K5" t="s">
        <v>260</v>
      </c>
      <c r="L5" t="s">
        <v>172</v>
      </c>
      <c r="M5" t="s">
        <v>173</v>
      </c>
      <c r="N5">
        <v>300000</v>
      </c>
      <c r="O5" t="s">
        <v>174</v>
      </c>
      <c r="P5" t="s">
        <v>179</v>
      </c>
      <c r="Q5" t="b">
        <v>0</v>
      </c>
    </row>
    <row r="6" spans="1:23" x14ac:dyDescent="0.35">
      <c r="A6">
        <v>5</v>
      </c>
      <c r="B6" t="s">
        <v>185</v>
      </c>
      <c r="C6" t="s">
        <v>15</v>
      </c>
      <c r="D6" t="s">
        <v>168</v>
      </c>
      <c r="E6" t="s">
        <v>249</v>
      </c>
      <c r="F6" t="s">
        <v>169</v>
      </c>
      <c r="G6" t="s">
        <v>246</v>
      </c>
      <c r="H6" t="s">
        <v>177</v>
      </c>
      <c r="I6" t="s">
        <v>178</v>
      </c>
      <c r="J6" t="s">
        <v>40</v>
      </c>
      <c r="K6" t="s">
        <v>261</v>
      </c>
      <c r="L6" t="s">
        <v>172</v>
      </c>
      <c r="M6" t="s">
        <v>173</v>
      </c>
      <c r="N6">
        <v>300000</v>
      </c>
      <c r="O6" t="s">
        <v>174</v>
      </c>
      <c r="P6" t="s">
        <v>179</v>
      </c>
      <c r="Q6" t="b">
        <v>0</v>
      </c>
    </row>
    <row r="7" spans="1:23" x14ac:dyDescent="0.35">
      <c r="A7">
        <v>6</v>
      </c>
      <c r="B7" t="s">
        <v>185</v>
      </c>
      <c r="C7" t="s">
        <v>16</v>
      </c>
      <c r="D7" t="s">
        <v>168</v>
      </c>
      <c r="E7" t="s">
        <v>249</v>
      </c>
      <c r="F7" t="s">
        <v>169</v>
      </c>
      <c r="G7" t="s">
        <v>246</v>
      </c>
      <c r="H7" t="s">
        <v>177</v>
      </c>
      <c r="I7" t="s">
        <v>178</v>
      </c>
      <c r="J7" t="s">
        <v>49</v>
      </c>
      <c r="K7" t="s">
        <v>262</v>
      </c>
      <c r="L7" t="s">
        <v>172</v>
      </c>
      <c r="M7" t="s">
        <v>173</v>
      </c>
      <c r="N7">
        <v>1500000</v>
      </c>
      <c r="O7" t="s">
        <v>174</v>
      </c>
      <c r="P7" t="s">
        <v>179</v>
      </c>
      <c r="Q7" t="b">
        <v>0</v>
      </c>
    </row>
    <row r="8" spans="1:23" s="2" customFormat="1" x14ac:dyDescent="0.35">
      <c r="A8">
        <v>7</v>
      </c>
      <c r="B8" s="2" t="s">
        <v>185</v>
      </c>
      <c r="C8" s="2" t="s">
        <v>5</v>
      </c>
      <c r="D8" s="2" t="s">
        <v>180</v>
      </c>
      <c r="E8" t="s">
        <v>250</v>
      </c>
      <c r="F8" s="2" t="s">
        <v>181</v>
      </c>
      <c r="G8" s="2" t="s">
        <v>299</v>
      </c>
      <c r="H8" s="2" t="s">
        <v>182</v>
      </c>
      <c r="I8" s="2" t="s">
        <v>183</v>
      </c>
      <c r="J8" s="2" t="s">
        <v>109</v>
      </c>
      <c r="K8" s="2" t="s">
        <v>310</v>
      </c>
      <c r="L8" s="2" t="s">
        <v>184</v>
      </c>
      <c r="M8" t="s">
        <v>347</v>
      </c>
      <c r="N8" s="2">
        <v>300000</v>
      </c>
      <c r="O8" s="2" t="s">
        <v>174</v>
      </c>
      <c r="P8" s="2" t="s">
        <v>179</v>
      </c>
      <c r="Q8" s="2" t="b">
        <v>1</v>
      </c>
    </row>
    <row r="9" spans="1:23" s="2" customFormat="1" x14ac:dyDescent="0.35">
      <c r="A9">
        <v>8</v>
      </c>
      <c r="B9" s="2" t="s">
        <v>185</v>
      </c>
      <c r="C9" s="2" t="s">
        <v>5</v>
      </c>
      <c r="D9" s="2" t="s">
        <v>180</v>
      </c>
      <c r="E9" t="s">
        <v>250</v>
      </c>
      <c r="F9" s="2" t="s">
        <v>181</v>
      </c>
      <c r="G9" s="2" t="s">
        <v>299</v>
      </c>
      <c r="H9" s="2" t="s">
        <v>182</v>
      </c>
      <c r="I9" s="2" t="s">
        <v>183</v>
      </c>
      <c r="J9" s="2" t="s">
        <v>110</v>
      </c>
      <c r="K9" s="2" t="s">
        <v>311</v>
      </c>
      <c r="L9" s="2" t="s">
        <v>184</v>
      </c>
      <c r="M9" t="s">
        <v>347</v>
      </c>
      <c r="N9" s="2">
        <v>300000</v>
      </c>
      <c r="O9" s="2" t="s">
        <v>174</v>
      </c>
      <c r="P9" s="2" t="s">
        <v>179</v>
      </c>
      <c r="Q9" s="2" t="b">
        <v>1</v>
      </c>
    </row>
    <row r="10" spans="1:23" s="2" customFormat="1" x14ac:dyDescent="0.35">
      <c r="A10">
        <v>9</v>
      </c>
      <c r="B10" s="2" t="s">
        <v>185</v>
      </c>
      <c r="C10" s="2" t="s">
        <v>7</v>
      </c>
      <c r="D10" s="2" t="s">
        <v>180</v>
      </c>
      <c r="E10" t="s">
        <v>250</v>
      </c>
      <c r="F10" s="2" t="s">
        <v>181</v>
      </c>
      <c r="G10" s="2" t="s">
        <v>299</v>
      </c>
      <c r="H10" s="2" t="s">
        <v>300</v>
      </c>
      <c r="I10" s="2" t="s">
        <v>301</v>
      </c>
      <c r="J10" s="2" t="s">
        <v>111</v>
      </c>
      <c r="K10" s="2" t="s">
        <v>312</v>
      </c>
      <c r="L10" s="2" t="s">
        <v>184</v>
      </c>
      <c r="M10" t="s">
        <v>347</v>
      </c>
      <c r="N10" s="2">
        <v>150000</v>
      </c>
      <c r="O10" s="2" t="s">
        <v>174</v>
      </c>
      <c r="P10" s="2" t="s">
        <v>179</v>
      </c>
      <c r="Q10" s="2" t="b">
        <v>1</v>
      </c>
    </row>
    <row r="11" spans="1:23" s="2" customFormat="1" x14ac:dyDescent="0.35">
      <c r="A11">
        <v>10</v>
      </c>
      <c r="B11" s="2" t="s">
        <v>185</v>
      </c>
      <c r="C11" s="2" t="s">
        <v>7</v>
      </c>
      <c r="D11" s="2" t="s">
        <v>180</v>
      </c>
      <c r="E11" t="s">
        <v>250</v>
      </c>
      <c r="F11" s="2" t="s">
        <v>181</v>
      </c>
      <c r="G11" s="2" t="s">
        <v>299</v>
      </c>
      <c r="H11" s="2" t="s">
        <v>300</v>
      </c>
      <c r="I11" s="2" t="s">
        <v>301</v>
      </c>
      <c r="J11" s="2" t="s">
        <v>33</v>
      </c>
      <c r="K11" s="2" t="s">
        <v>267</v>
      </c>
      <c r="L11" s="2" t="s">
        <v>184</v>
      </c>
      <c r="M11" t="s">
        <v>347</v>
      </c>
      <c r="N11" s="2">
        <v>150000</v>
      </c>
      <c r="O11" s="2" t="s">
        <v>174</v>
      </c>
      <c r="P11" s="2" t="s">
        <v>179</v>
      </c>
      <c r="Q11" s="2" t="b">
        <v>1</v>
      </c>
    </row>
    <row r="12" spans="1:23" s="2" customFormat="1" x14ac:dyDescent="0.35">
      <c r="A12">
        <v>11</v>
      </c>
      <c r="B12" s="2" t="s">
        <v>185</v>
      </c>
      <c r="C12" s="2" t="s">
        <v>7</v>
      </c>
      <c r="D12" s="2" t="s">
        <v>180</v>
      </c>
      <c r="E12" t="s">
        <v>250</v>
      </c>
      <c r="F12" s="2" t="s">
        <v>181</v>
      </c>
      <c r="G12" s="2" t="s">
        <v>299</v>
      </c>
      <c r="H12" s="2" t="s">
        <v>308</v>
      </c>
      <c r="I12" t="s">
        <v>304</v>
      </c>
      <c r="J12" s="2" t="s">
        <v>112</v>
      </c>
      <c r="K12" s="2" t="s">
        <v>313</v>
      </c>
      <c r="L12" s="2" t="s">
        <v>184</v>
      </c>
      <c r="M12" t="s">
        <v>347</v>
      </c>
      <c r="N12" s="2">
        <v>150000</v>
      </c>
      <c r="O12" s="2" t="s">
        <v>174</v>
      </c>
      <c r="P12" s="2" t="s">
        <v>179</v>
      </c>
      <c r="Q12" s="2" t="b">
        <v>1</v>
      </c>
    </row>
    <row r="13" spans="1:23" s="2" customFormat="1" x14ac:dyDescent="0.35">
      <c r="A13">
        <v>12</v>
      </c>
      <c r="B13" s="2" t="s">
        <v>185</v>
      </c>
      <c r="C13" s="2" t="s">
        <v>7</v>
      </c>
      <c r="D13" s="2" t="s">
        <v>180</v>
      </c>
      <c r="E13" t="s">
        <v>250</v>
      </c>
      <c r="F13" s="2" t="s">
        <v>181</v>
      </c>
      <c r="G13" s="2" t="s">
        <v>299</v>
      </c>
      <c r="H13" s="2" t="s">
        <v>308</v>
      </c>
      <c r="I13" t="s">
        <v>304</v>
      </c>
      <c r="J13" s="2" t="s">
        <v>113</v>
      </c>
      <c r="K13" s="2" t="s">
        <v>314</v>
      </c>
      <c r="L13" s="2" t="s">
        <v>184</v>
      </c>
      <c r="M13" t="s">
        <v>347</v>
      </c>
      <c r="N13" s="2">
        <v>150000</v>
      </c>
      <c r="O13" s="2" t="s">
        <v>174</v>
      </c>
      <c r="P13" s="2" t="s">
        <v>179</v>
      </c>
      <c r="Q13" s="2" t="b">
        <v>1</v>
      </c>
    </row>
    <row r="14" spans="1:23" s="2" customFormat="1" x14ac:dyDescent="0.35">
      <c r="A14">
        <v>13</v>
      </c>
      <c r="B14" s="2" t="s">
        <v>185</v>
      </c>
      <c r="C14" s="2" t="s">
        <v>13</v>
      </c>
      <c r="D14" s="2" t="s">
        <v>180</v>
      </c>
      <c r="E14" t="s">
        <v>250</v>
      </c>
      <c r="F14" s="2" t="s">
        <v>181</v>
      </c>
      <c r="G14" s="2" t="s">
        <v>299</v>
      </c>
      <c r="H14" s="2" t="s">
        <v>308</v>
      </c>
      <c r="I14" t="s">
        <v>304</v>
      </c>
      <c r="J14" s="2" t="s">
        <v>114</v>
      </c>
      <c r="K14" s="2" t="s">
        <v>315</v>
      </c>
      <c r="L14" s="2" t="s">
        <v>184</v>
      </c>
      <c r="M14" t="s">
        <v>347</v>
      </c>
      <c r="N14" s="2">
        <v>250000</v>
      </c>
      <c r="O14" s="2" t="s">
        <v>174</v>
      </c>
      <c r="P14" s="2" t="s">
        <v>179</v>
      </c>
      <c r="Q14" s="2" t="b">
        <v>1</v>
      </c>
    </row>
    <row r="15" spans="1:23" s="2" customFormat="1" x14ac:dyDescent="0.35">
      <c r="A15">
        <v>14</v>
      </c>
      <c r="B15" s="2" t="s">
        <v>185</v>
      </c>
      <c r="C15" s="2" t="s">
        <v>94</v>
      </c>
      <c r="D15" s="2" t="s">
        <v>180</v>
      </c>
      <c r="E15" t="s">
        <v>250</v>
      </c>
      <c r="F15" s="2" t="s">
        <v>181</v>
      </c>
      <c r="G15" s="2" t="s">
        <v>299</v>
      </c>
      <c r="H15" s="2" t="s">
        <v>303</v>
      </c>
      <c r="I15" t="s">
        <v>305</v>
      </c>
      <c r="J15" s="2" t="s">
        <v>37</v>
      </c>
      <c r="K15" s="2" t="s">
        <v>316</v>
      </c>
      <c r="L15" s="2" t="s">
        <v>184</v>
      </c>
      <c r="M15" t="s">
        <v>347</v>
      </c>
      <c r="N15" s="2">
        <v>200000</v>
      </c>
      <c r="O15" s="2" t="s">
        <v>174</v>
      </c>
      <c r="P15" s="2" t="s">
        <v>179</v>
      </c>
      <c r="Q15" s="2" t="b">
        <v>1</v>
      </c>
    </row>
    <row r="16" spans="1:23" s="2" customFormat="1" x14ac:dyDescent="0.35">
      <c r="A16">
        <v>15</v>
      </c>
      <c r="B16" s="2" t="s">
        <v>185</v>
      </c>
      <c r="C16" s="2" t="s">
        <v>94</v>
      </c>
      <c r="D16" s="2" t="s">
        <v>180</v>
      </c>
      <c r="E16" t="s">
        <v>250</v>
      </c>
      <c r="F16" s="2" t="s">
        <v>181</v>
      </c>
      <c r="G16" s="2" t="s">
        <v>299</v>
      </c>
      <c r="H16" s="2" t="s">
        <v>303</v>
      </c>
      <c r="I16" t="s">
        <v>305</v>
      </c>
      <c r="J16" s="2" t="s">
        <v>229</v>
      </c>
      <c r="K16" s="2" t="s">
        <v>317</v>
      </c>
      <c r="L16" s="2" t="s">
        <v>184</v>
      </c>
      <c r="M16" t="s">
        <v>347</v>
      </c>
      <c r="N16" s="2">
        <v>200000</v>
      </c>
      <c r="O16" s="2" t="s">
        <v>174</v>
      </c>
      <c r="P16" s="2" t="s">
        <v>179</v>
      </c>
      <c r="Q16" s="2" t="b">
        <v>1</v>
      </c>
    </row>
    <row r="17" spans="1:17" x14ac:dyDescent="0.35">
      <c r="A17">
        <v>16</v>
      </c>
      <c r="B17" t="s">
        <v>185</v>
      </c>
      <c r="C17" t="s">
        <v>17</v>
      </c>
      <c r="D17" t="s">
        <v>180</v>
      </c>
      <c r="E17" t="s">
        <v>250</v>
      </c>
      <c r="F17" t="s">
        <v>186</v>
      </c>
      <c r="H17" t="s">
        <v>187</v>
      </c>
      <c r="I17" t="s">
        <v>188</v>
      </c>
      <c r="J17" t="s">
        <v>115</v>
      </c>
      <c r="K17" t="s">
        <v>318</v>
      </c>
      <c r="L17" t="s">
        <v>190</v>
      </c>
      <c r="M17" t="s">
        <v>191</v>
      </c>
      <c r="N17">
        <v>250000</v>
      </c>
      <c r="O17" t="s">
        <v>174</v>
      </c>
      <c r="P17" t="s">
        <v>192</v>
      </c>
      <c r="Q17" t="b">
        <v>1</v>
      </c>
    </row>
    <row r="18" spans="1:17" x14ac:dyDescent="0.35">
      <c r="A18">
        <v>17</v>
      </c>
      <c r="B18" t="s">
        <v>185</v>
      </c>
      <c r="C18" t="s">
        <v>96</v>
      </c>
      <c r="D18" t="s">
        <v>180</v>
      </c>
      <c r="E18" t="s">
        <v>250</v>
      </c>
      <c r="F18" t="s">
        <v>186</v>
      </c>
      <c r="H18" t="s">
        <v>187</v>
      </c>
      <c r="I18" t="s">
        <v>188</v>
      </c>
      <c r="J18" t="s">
        <v>116</v>
      </c>
      <c r="K18" t="s">
        <v>319</v>
      </c>
      <c r="L18" t="s">
        <v>190</v>
      </c>
      <c r="M18" t="s">
        <v>191</v>
      </c>
      <c r="N18">
        <v>110000</v>
      </c>
      <c r="O18" t="s">
        <v>174</v>
      </c>
      <c r="P18" t="s">
        <v>192</v>
      </c>
      <c r="Q18" t="b">
        <v>1</v>
      </c>
    </row>
    <row r="19" spans="1:17" x14ac:dyDescent="0.35">
      <c r="A19">
        <v>18</v>
      </c>
      <c r="B19" t="s">
        <v>185</v>
      </c>
      <c r="C19" t="s">
        <v>97</v>
      </c>
      <c r="D19" t="s">
        <v>180</v>
      </c>
      <c r="E19" t="s">
        <v>250</v>
      </c>
      <c r="F19" t="s">
        <v>186</v>
      </c>
      <c r="H19" t="s">
        <v>187</v>
      </c>
      <c r="I19" t="s">
        <v>188</v>
      </c>
      <c r="J19" t="s">
        <v>117</v>
      </c>
      <c r="K19" t="s">
        <v>320</v>
      </c>
      <c r="L19" t="s">
        <v>194</v>
      </c>
      <c r="M19" t="s">
        <v>348</v>
      </c>
      <c r="N19">
        <v>90000</v>
      </c>
      <c r="O19" t="s">
        <v>174</v>
      </c>
      <c r="P19" t="s">
        <v>179</v>
      </c>
      <c r="Q19" t="b">
        <v>1</v>
      </c>
    </row>
    <row r="20" spans="1:17" x14ac:dyDescent="0.35">
      <c r="A20">
        <v>19</v>
      </c>
      <c r="B20" t="s">
        <v>185</v>
      </c>
      <c r="C20" t="s">
        <v>98</v>
      </c>
      <c r="D20" t="s">
        <v>180</v>
      </c>
      <c r="E20" t="s">
        <v>250</v>
      </c>
      <c r="F20" t="s">
        <v>186</v>
      </c>
      <c r="H20" t="s">
        <v>187</v>
      </c>
      <c r="I20" t="s">
        <v>188</v>
      </c>
      <c r="J20" t="s">
        <v>118</v>
      </c>
      <c r="K20" t="s">
        <v>276</v>
      </c>
      <c r="L20" t="s">
        <v>194</v>
      </c>
      <c r="M20" t="s">
        <v>348</v>
      </c>
      <c r="N20">
        <v>100000</v>
      </c>
      <c r="O20" t="s">
        <v>174</v>
      </c>
      <c r="P20" t="s">
        <v>179</v>
      </c>
      <c r="Q20" t="b">
        <v>1</v>
      </c>
    </row>
    <row r="21" spans="1:17" x14ac:dyDescent="0.35">
      <c r="A21">
        <v>20</v>
      </c>
      <c r="B21" t="s">
        <v>185</v>
      </c>
      <c r="C21" t="s">
        <v>99</v>
      </c>
      <c r="D21" t="s">
        <v>180</v>
      </c>
      <c r="E21" t="s">
        <v>250</v>
      </c>
      <c r="F21" t="s">
        <v>186</v>
      </c>
      <c r="H21" t="s">
        <v>195</v>
      </c>
      <c r="I21" t="s">
        <v>306</v>
      </c>
      <c r="J21" t="s">
        <v>119</v>
      </c>
      <c r="K21" t="s">
        <v>321</v>
      </c>
      <c r="L21" t="s">
        <v>172</v>
      </c>
      <c r="M21" t="s">
        <v>173</v>
      </c>
      <c r="N21">
        <v>250000</v>
      </c>
      <c r="O21" t="s">
        <v>174</v>
      </c>
      <c r="P21" t="s">
        <v>179</v>
      </c>
      <c r="Q21" t="b">
        <v>1</v>
      </c>
    </row>
    <row r="22" spans="1:17" x14ac:dyDescent="0.35">
      <c r="A22">
        <v>21</v>
      </c>
      <c r="B22" t="s">
        <v>185</v>
      </c>
      <c r="C22" t="s">
        <v>100</v>
      </c>
      <c r="D22" t="s">
        <v>180</v>
      </c>
      <c r="E22" t="s">
        <v>250</v>
      </c>
      <c r="F22" t="s">
        <v>186</v>
      </c>
      <c r="H22" t="s">
        <v>195</v>
      </c>
      <c r="I22" t="s">
        <v>306</v>
      </c>
      <c r="J22" t="s">
        <v>120</v>
      </c>
      <c r="K22" t="s">
        <v>322</v>
      </c>
      <c r="L22" t="s">
        <v>172</v>
      </c>
      <c r="M22" t="s">
        <v>173</v>
      </c>
      <c r="N22">
        <v>150000</v>
      </c>
      <c r="O22" t="s">
        <v>174</v>
      </c>
      <c r="P22" t="s">
        <v>179</v>
      </c>
      <c r="Q22" t="b">
        <v>1</v>
      </c>
    </row>
    <row r="23" spans="1:17" x14ac:dyDescent="0.35">
      <c r="A23">
        <v>22</v>
      </c>
      <c r="B23" t="s">
        <v>185</v>
      </c>
      <c r="C23" t="s">
        <v>101</v>
      </c>
      <c r="D23" t="s">
        <v>180</v>
      </c>
      <c r="E23" t="s">
        <v>250</v>
      </c>
      <c r="F23" t="s">
        <v>186</v>
      </c>
      <c r="H23" t="s">
        <v>195</v>
      </c>
      <c r="I23" t="s">
        <v>306</v>
      </c>
      <c r="J23" t="s">
        <v>121</v>
      </c>
      <c r="K23" t="s">
        <v>323</v>
      </c>
      <c r="L23" t="s">
        <v>172</v>
      </c>
      <c r="M23" t="s">
        <v>173</v>
      </c>
      <c r="N23">
        <v>250000</v>
      </c>
      <c r="O23" t="s">
        <v>174</v>
      </c>
      <c r="P23" t="s">
        <v>179</v>
      </c>
      <c r="Q23" t="b">
        <v>1</v>
      </c>
    </row>
    <row r="24" spans="1:17" x14ac:dyDescent="0.35">
      <c r="A24">
        <v>23</v>
      </c>
      <c r="B24" t="s">
        <v>185</v>
      </c>
      <c r="C24" t="s">
        <v>102</v>
      </c>
      <c r="D24" t="s">
        <v>180</v>
      </c>
      <c r="E24" t="s">
        <v>250</v>
      </c>
      <c r="F24" t="s">
        <v>186</v>
      </c>
      <c r="H24" t="s">
        <v>195</v>
      </c>
      <c r="I24" t="s">
        <v>306</v>
      </c>
      <c r="J24" t="s">
        <v>122</v>
      </c>
      <c r="K24" t="s">
        <v>324</v>
      </c>
      <c r="L24" t="s">
        <v>172</v>
      </c>
      <c r="M24" t="s">
        <v>173</v>
      </c>
      <c r="N24">
        <v>250000</v>
      </c>
      <c r="O24" t="s">
        <v>174</v>
      </c>
      <c r="P24" t="s">
        <v>179</v>
      </c>
      <c r="Q24" t="b">
        <v>1</v>
      </c>
    </row>
    <row r="25" spans="1:17" x14ac:dyDescent="0.35">
      <c r="A25">
        <v>24</v>
      </c>
      <c r="B25" t="s">
        <v>185</v>
      </c>
      <c r="C25" t="s">
        <v>103</v>
      </c>
      <c r="D25" t="s">
        <v>180</v>
      </c>
      <c r="E25" t="s">
        <v>250</v>
      </c>
      <c r="F25" t="s">
        <v>186</v>
      </c>
      <c r="H25" t="s">
        <v>199</v>
      </c>
      <c r="I25" t="s">
        <v>200</v>
      </c>
      <c r="J25" t="s">
        <v>123</v>
      </c>
      <c r="K25" t="s">
        <v>325</v>
      </c>
      <c r="L25" t="s">
        <v>172</v>
      </c>
      <c r="M25" t="s">
        <v>173</v>
      </c>
      <c r="N25">
        <v>250000</v>
      </c>
      <c r="O25" t="s">
        <v>174</v>
      </c>
      <c r="P25" t="s">
        <v>179</v>
      </c>
      <c r="Q25" t="b">
        <v>1</v>
      </c>
    </row>
    <row r="26" spans="1:17" x14ac:dyDescent="0.35">
      <c r="A26">
        <v>25</v>
      </c>
      <c r="B26" t="s">
        <v>185</v>
      </c>
      <c r="C26" t="s">
        <v>104</v>
      </c>
      <c r="D26" t="s">
        <v>180</v>
      </c>
      <c r="E26" t="s">
        <v>250</v>
      </c>
      <c r="F26" t="s">
        <v>186</v>
      </c>
      <c r="H26" t="s">
        <v>199</v>
      </c>
      <c r="I26" t="s">
        <v>200</v>
      </c>
      <c r="J26" t="s">
        <v>124</v>
      </c>
      <c r="K26" t="s">
        <v>326</v>
      </c>
      <c r="L26" t="s">
        <v>172</v>
      </c>
      <c r="M26" t="s">
        <v>173</v>
      </c>
      <c r="N26">
        <v>200000</v>
      </c>
      <c r="O26" t="s">
        <v>174</v>
      </c>
      <c r="P26" t="s">
        <v>179</v>
      </c>
      <c r="Q26" t="b">
        <v>1</v>
      </c>
    </row>
    <row r="27" spans="1:17" x14ac:dyDescent="0.35">
      <c r="A27">
        <v>26</v>
      </c>
      <c r="B27" t="s">
        <v>185</v>
      </c>
      <c r="C27" t="s">
        <v>201</v>
      </c>
      <c r="D27" t="s">
        <v>180</v>
      </c>
      <c r="E27" t="s">
        <v>250</v>
      </c>
      <c r="F27" t="s">
        <v>186</v>
      </c>
      <c r="H27" t="s">
        <v>202</v>
      </c>
      <c r="I27" t="s">
        <v>309</v>
      </c>
      <c r="J27" t="s">
        <v>204</v>
      </c>
      <c r="K27" t="s">
        <v>327</v>
      </c>
      <c r="L27" t="s">
        <v>172</v>
      </c>
      <c r="M27" t="s">
        <v>173</v>
      </c>
      <c r="N27">
        <v>300000</v>
      </c>
      <c r="O27" t="s">
        <v>174</v>
      </c>
      <c r="P27" t="s">
        <v>179</v>
      </c>
      <c r="Q27" t="b">
        <v>1</v>
      </c>
    </row>
    <row r="28" spans="1:17" x14ac:dyDescent="0.35">
      <c r="A28">
        <v>27</v>
      </c>
      <c r="B28" t="s">
        <v>185</v>
      </c>
      <c r="C28" t="s">
        <v>205</v>
      </c>
      <c r="D28" t="s">
        <v>180</v>
      </c>
      <c r="E28" t="s">
        <v>250</v>
      </c>
      <c r="F28" t="s">
        <v>186</v>
      </c>
      <c r="H28" t="s">
        <v>202</v>
      </c>
      <c r="I28" t="s">
        <v>309</v>
      </c>
      <c r="J28" t="s">
        <v>206</v>
      </c>
      <c r="K28" t="s">
        <v>328</v>
      </c>
      <c r="L28" t="s">
        <v>172</v>
      </c>
      <c r="M28" t="s">
        <v>173</v>
      </c>
      <c r="N28">
        <v>450000</v>
      </c>
      <c r="O28" t="s">
        <v>174</v>
      </c>
      <c r="P28" t="s">
        <v>179</v>
      </c>
      <c r="Q28" t="b">
        <v>1</v>
      </c>
    </row>
    <row r="29" spans="1:17" x14ac:dyDescent="0.35">
      <c r="A29">
        <v>28</v>
      </c>
      <c r="B29" t="s">
        <v>185</v>
      </c>
      <c r="C29" t="s">
        <v>207</v>
      </c>
      <c r="D29" t="s">
        <v>180</v>
      </c>
      <c r="E29" t="s">
        <v>250</v>
      </c>
      <c r="F29" t="s">
        <v>208</v>
      </c>
      <c r="H29" t="s">
        <v>209</v>
      </c>
      <c r="I29" t="s">
        <v>210</v>
      </c>
      <c r="J29" t="s">
        <v>230</v>
      </c>
      <c r="K29" t="s">
        <v>329</v>
      </c>
      <c r="L29" t="s">
        <v>231</v>
      </c>
      <c r="M29" t="s">
        <v>349</v>
      </c>
      <c r="N29">
        <v>800000</v>
      </c>
      <c r="O29" t="s">
        <v>174</v>
      </c>
      <c r="P29" t="s">
        <v>179</v>
      </c>
      <c r="Q29" t="b">
        <v>1</v>
      </c>
    </row>
    <row r="30" spans="1:17" x14ac:dyDescent="0.35">
      <c r="A30">
        <v>29</v>
      </c>
      <c r="B30" t="s">
        <v>185</v>
      </c>
      <c r="C30" t="s">
        <v>213</v>
      </c>
      <c r="D30" t="s">
        <v>180</v>
      </c>
      <c r="E30" t="s">
        <v>250</v>
      </c>
      <c r="F30" t="s">
        <v>208</v>
      </c>
      <c r="H30" t="s">
        <v>209</v>
      </c>
      <c r="I30" t="s">
        <v>210</v>
      </c>
      <c r="J30" t="s">
        <v>232</v>
      </c>
      <c r="K30" t="s">
        <v>330</v>
      </c>
      <c r="L30" t="s">
        <v>231</v>
      </c>
      <c r="M30" t="s">
        <v>349</v>
      </c>
      <c r="N30">
        <v>1000000</v>
      </c>
      <c r="O30" t="s">
        <v>174</v>
      </c>
      <c r="P30" t="s">
        <v>179</v>
      </c>
      <c r="Q30" t="b">
        <v>1</v>
      </c>
    </row>
    <row r="31" spans="1:17" x14ac:dyDescent="0.35">
      <c r="A31">
        <v>30</v>
      </c>
      <c r="B31" t="s">
        <v>185</v>
      </c>
      <c r="C31" t="s">
        <v>215</v>
      </c>
      <c r="D31" t="s">
        <v>180</v>
      </c>
      <c r="E31" t="s">
        <v>250</v>
      </c>
      <c r="F31" t="s">
        <v>208</v>
      </c>
      <c r="H31" t="s">
        <v>209</v>
      </c>
      <c r="I31" t="s">
        <v>210</v>
      </c>
      <c r="J31" t="s">
        <v>233</v>
      </c>
      <c r="K31" t="s">
        <v>331</v>
      </c>
      <c r="L31" t="s">
        <v>231</v>
      </c>
      <c r="M31" t="s">
        <v>349</v>
      </c>
      <c r="N31">
        <v>1200000</v>
      </c>
      <c r="O31" t="s">
        <v>174</v>
      </c>
      <c r="P31" t="s">
        <v>179</v>
      </c>
      <c r="Q31" t="b">
        <v>1</v>
      </c>
    </row>
    <row r="32" spans="1:17" x14ac:dyDescent="0.35">
      <c r="A32">
        <v>31</v>
      </c>
      <c r="B32" t="s">
        <v>185</v>
      </c>
      <c r="C32" t="s">
        <v>219</v>
      </c>
      <c r="D32" t="s">
        <v>180</v>
      </c>
      <c r="E32" t="s">
        <v>250</v>
      </c>
      <c r="F32" t="s">
        <v>208</v>
      </c>
      <c r="H32" t="s">
        <v>209</v>
      </c>
      <c r="I32" t="s">
        <v>210</v>
      </c>
      <c r="J32" t="s">
        <v>234</v>
      </c>
      <c r="K32" t="s">
        <v>332</v>
      </c>
      <c r="L32" t="s">
        <v>231</v>
      </c>
      <c r="M32" t="s">
        <v>349</v>
      </c>
      <c r="N32">
        <v>1400000</v>
      </c>
      <c r="O32" t="s">
        <v>174</v>
      </c>
      <c r="P32" t="s">
        <v>179</v>
      </c>
      <c r="Q32" t="b">
        <v>1</v>
      </c>
    </row>
    <row r="33" spans="1:17" x14ac:dyDescent="0.35">
      <c r="A33">
        <v>32</v>
      </c>
      <c r="B33" t="s">
        <v>185</v>
      </c>
      <c r="C33" t="s">
        <v>26</v>
      </c>
      <c r="D33" t="s">
        <v>180</v>
      </c>
      <c r="E33" t="s">
        <v>250</v>
      </c>
      <c r="F33" t="s">
        <v>208</v>
      </c>
      <c r="H33" t="s">
        <v>209</v>
      </c>
      <c r="I33" t="s">
        <v>210</v>
      </c>
      <c r="J33" t="s">
        <v>235</v>
      </c>
      <c r="K33" t="s">
        <v>333</v>
      </c>
      <c r="L33" t="s">
        <v>231</v>
      </c>
      <c r="M33" t="s">
        <v>349</v>
      </c>
      <c r="N33">
        <v>1700000</v>
      </c>
      <c r="O33" t="s">
        <v>174</v>
      </c>
      <c r="P33" t="s">
        <v>179</v>
      </c>
      <c r="Q33" t="b">
        <v>1</v>
      </c>
    </row>
    <row r="34" spans="1:17" x14ac:dyDescent="0.35">
      <c r="A34">
        <v>33</v>
      </c>
      <c r="B34" t="s">
        <v>185</v>
      </c>
      <c r="C34" t="s">
        <v>27</v>
      </c>
      <c r="D34" t="s">
        <v>180</v>
      </c>
      <c r="E34" t="s">
        <v>250</v>
      </c>
      <c r="F34" t="s">
        <v>208</v>
      </c>
      <c r="H34" t="s">
        <v>216</v>
      </c>
      <c r="I34" t="s">
        <v>217</v>
      </c>
      <c r="J34" t="s">
        <v>125</v>
      </c>
      <c r="K34" t="s">
        <v>334</v>
      </c>
      <c r="L34" s="2" t="s">
        <v>190</v>
      </c>
      <c r="M34" s="2" t="s">
        <v>191</v>
      </c>
      <c r="N34">
        <v>100000</v>
      </c>
      <c r="O34" t="s">
        <v>174</v>
      </c>
      <c r="P34" t="s">
        <v>236</v>
      </c>
      <c r="Q34" t="b">
        <v>1</v>
      </c>
    </row>
    <row r="35" spans="1:17" x14ac:dyDescent="0.35">
      <c r="A35">
        <v>34</v>
      </c>
      <c r="B35" t="s">
        <v>185</v>
      </c>
      <c r="C35" t="s">
        <v>224</v>
      </c>
      <c r="D35" t="s">
        <v>180</v>
      </c>
      <c r="E35" t="s">
        <v>250</v>
      </c>
      <c r="F35" t="s">
        <v>208</v>
      </c>
      <c r="H35" t="s">
        <v>216</v>
      </c>
      <c r="I35" t="s">
        <v>217</v>
      </c>
      <c r="J35" t="s">
        <v>237</v>
      </c>
      <c r="K35" t="s">
        <v>335</v>
      </c>
      <c r="L35" t="s">
        <v>231</v>
      </c>
      <c r="M35" t="s">
        <v>349</v>
      </c>
      <c r="N35">
        <v>330000</v>
      </c>
      <c r="O35" t="s">
        <v>174</v>
      </c>
      <c r="P35" t="s">
        <v>179</v>
      </c>
      <c r="Q35" t="b">
        <v>1</v>
      </c>
    </row>
    <row r="36" spans="1:17" x14ac:dyDescent="0.35">
      <c r="A36">
        <v>35</v>
      </c>
      <c r="B36" t="s">
        <v>185</v>
      </c>
      <c r="C36" t="s">
        <v>21</v>
      </c>
      <c r="D36" t="s">
        <v>180</v>
      </c>
      <c r="E36" t="s">
        <v>250</v>
      </c>
      <c r="F36" t="s">
        <v>208</v>
      </c>
      <c r="H36" t="s">
        <v>216</v>
      </c>
      <c r="I36" t="s">
        <v>217</v>
      </c>
      <c r="J36" t="s">
        <v>238</v>
      </c>
      <c r="K36" t="s">
        <v>336</v>
      </c>
      <c r="L36" t="s">
        <v>231</v>
      </c>
      <c r="M36" t="s">
        <v>349</v>
      </c>
      <c r="N36">
        <v>480000</v>
      </c>
      <c r="O36" t="s">
        <v>174</v>
      </c>
      <c r="P36" t="s">
        <v>179</v>
      </c>
      <c r="Q36" t="b">
        <v>1</v>
      </c>
    </row>
    <row r="37" spans="1:17" x14ac:dyDescent="0.35">
      <c r="A37">
        <v>36</v>
      </c>
      <c r="B37" t="s">
        <v>185</v>
      </c>
      <c r="C37" t="s">
        <v>239</v>
      </c>
      <c r="D37" t="s">
        <v>180</v>
      </c>
      <c r="E37" t="s">
        <v>250</v>
      </c>
      <c r="F37" t="s">
        <v>208</v>
      </c>
      <c r="H37" t="s">
        <v>216</v>
      </c>
      <c r="I37" t="s">
        <v>217</v>
      </c>
      <c r="J37" t="s">
        <v>240</v>
      </c>
      <c r="K37" t="s">
        <v>337</v>
      </c>
      <c r="L37" t="s">
        <v>231</v>
      </c>
      <c r="M37" t="s">
        <v>349</v>
      </c>
      <c r="N37">
        <v>900000</v>
      </c>
      <c r="O37" t="s">
        <v>174</v>
      </c>
      <c r="P37" t="s">
        <v>179</v>
      </c>
      <c r="Q37" t="b">
        <v>1</v>
      </c>
    </row>
    <row r="38" spans="1:17" x14ac:dyDescent="0.35">
      <c r="A38">
        <v>37</v>
      </c>
      <c r="B38" t="s">
        <v>185</v>
      </c>
      <c r="C38" t="s">
        <v>241</v>
      </c>
      <c r="D38" t="s">
        <v>180</v>
      </c>
      <c r="E38" t="s">
        <v>250</v>
      </c>
      <c r="F38" t="s">
        <v>208</v>
      </c>
      <c r="H38" t="s">
        <v>216</v>
      </c>
      <c r="I38" t="s">
        <v>217</v>
      </c>
      <c r="J38" t="s">
        <v>242</v>
      </c>
      <c r="K38" t="s">
        <v>338</v>
      </c>
      <c r="L38" t="s">
        <v>231</v>
      </c>
      <c r="M38" t="s">
        <v>349</v>
      </c>
      <c r="N38">
        <v>1000000</v>
      </c>
      <c r="O38" t="s">
        <v>174</v>
      </c>
      <c r="P38" t="s">
        <v>179</v>
      </c>
      <c r="Q38" t="b">
        <v>1</v>
      </c>
    </row>
    <row r="39" spans="1:17" x14ac:dyDescent="0.35">
      <c r="A39">
        <v>38</v>
      </c>
      <c r="B39" t="s">
        <v>185</v>
      </c>
      <c r="C39" t="s">
        <v>243</v>
      </c>
      <c r="D39" t="s">
        <v>180</v>
      </c>
      <c r="E39" t="s">
        <v>250</v>
      </c>
      <c r="F39" t="s">
        <v>208</v>
      </c>
      <c r="H39" t="s">
        <v>216</v>
      </c>
      <c r="I39" t="s">
        <v>217</v>
      </c>
      <c r="J39" t="s">
        <v>244</v>
      </c>
      <c r="K39" t="s">
        <v>339</v>
      </c>
      <c r="L39" t="s">
        <v>231</v>
      </c>
      <c r="M39" t="s">
        <v>349</v>
      </c>
      <c r="N39">
        <v>1200000</v>
      </c>
      <c r="O39" t="s">
        <v>174</v>
      </c>
      <c r="P39" t="s">
        <v>179</v>
      </c>
      <c r="Q39" t="b">
        <v>1</v>
      </c>
    </row>
    <row r="40" spans="1:17" x14ac:dyDescent="0.35">
      <c r="A40">
        <v>39</v>
      </c>
      <c r="B40" t="s">
        <v>185</v>
      </c>
      <c r="C40" t="s">
        <v>107</v>
      </c>
      <c r="D40" t="s">
        <v>180</v>
      </c>
      <c r="E40" t="s">
        <v>250</v>
      </c>
      <c r="F40" t="s">
        <v>221</v>
      </c>
      <c r="H40" t="s">
        <v>222</v>
      </c>
      <c r="I40" t="s">
        <v>223</v>
      </c>
      <c r="J40" t="s">
        <v>47</v>
      </c>
      <c r="K40" t="s">
        <v>340</v>
      </c>
      <c r="L40" t="s">
        <v>172</v>
      </c>
      <c r="M40" t="s">
        <v>173</v>
      </c>
      <c r="N40">
        <v>50000</v>
      </c>
      <c r="O40" t="s">
        <v>174</v>
      </c>
      <c r="P40" t="s">
        <v>179</v>
      </c>
      <c r="Q40" t="b">
        <v>1</v>
      </c>
    </row>
    <row r="41" spans="1:17" x14ac:dyDescent="0.35">
      <c r="A41">
        <v>40</v>
      </c>
      <c r="B41" t="s">
        <v>185</v>
      </c>
      <c r="C41" t="s">
        <v>108</v>
      </c>
      <c r="D41" t="s">
        <v>180</v>
      </c>
      <c r="E41" t="s">
        <v>250</v>
      </c>
      <c r="F41" t="s">
        <v>221</v>
      </c>
      <c r="H41" t="s">
        <v>222</v>
      </c>
      <c r="I41" t="s">
        <v>223</v>
      </c>
      <c r="J41" t="s">
        <v>48</v>
      </c>
      <c r="K41" t="s">
        <v>341</v>
      </c>
      <c r="L41" t="s">
        <v>172</v>
      </c>
      <c r="M41" t="s">
        <v>173</v>
      </c>
      <c r="N41">
        <v>50000</v>
      </c>
      <c r="O41" t="s">
        <v>174</v>
      </c>
      <c r="P41" t="s">
        <v>179</v>
      </c>
      <c r="Q41" t="b">
        <v>1</v>
      </c>
    </row>
    <row r="42" spans="1:17" x14ac:dyDescent="0.35">
      <c r="A42">
        <v>41</v>
      </c>
      <c r="B42" t="s">
        <v>185</v>
      </c>
      <c r="C42" t="s">
        <v>245</v>
      </c>
      <c r="D42" t="s">
        <v>180</v>
      </c>
      <c r="E42" t="s">
        <v>250</v>
      </c>
      <c r="F42" t="s">
        <v>221</v>
      </c>
      <c r="H42" t="s">
        <v>177</v>
      </c>
      <c r="I42" t="s">
        <v>178</v>
      </c>
      <c r="J42" t="s">
        <v>225</v>
      </c>
      <c r="K42" t="s">
        <v>292</v>
      </c>
      <c r="L42" t="s">
        <v>172</v>
      </c>
      <c r="M42" t="s">
        <v>173</v>
      </c>
      <c r="N42">
        <v>200000</v>
      </c>
      <c r="O42" t="s">
        <v>174</v>
      </c>
      <c r="P42" t="s">
        <v>179</v>
      </c>
      <c r="Q42" t="b">
        <v>0</v>
      </c>
    </row>
    <row r="43" spans="1:17" x14ac:dyDescent="0.35">
      <c r="A43">
        <v>42</v>
      </c>
      <c r="B43" t="s">
        <v>185</v>
      </c>
      <c r="C43" t="s">
        <v>106</v>
      </c>
      <c r="D43" t="s">
        <v>180</v>
      </c>
      <c r="E43" t="s">
        <v>250</v>
      </c>
      <c r="F43" t="s">
        <v>221</v>
      </c>
      <c r="H43" t="s">
        <v>226</v>
      </c>
      <c r="I43" t="s">
        <v>307</v>
      </c>
      <c r="J43" t="s">
        <v>45</v>
      </c>
      <c r="K43" t="s">
        <v>307</v>
      </c>
      <c r="L43" t="s">
        <v>190</v>
      </c>
      <c r="M43" t="s">
        <v>191</v>
      </c>
      <c r="N43">
        <v>150000</v>
      </c>
      <c r="O43" t="s">
        <v>174</v>
      </c>
      <c r="P43" t="s">
        <v>212</v>
      </c>
      <c r="Q43" t="b">
        <v>1</v>
      </c>
    </row>
    <row r="44" spans="1:17" x14ac:dyDescent="0.35">
      <c r="A44">
        <v>43</v>
      </c>
      <c r="B44" t="s">
        <v>185</v>
      </c>
      <c r="C44" t="s">
        <v>22</v>
      </c>
      <c r="D44" t="s">
        <v>180</v>
      </c>
      <c r="E44" t="s">
        <v>250</v>
      </c>
      <c r="F44" t="s">
        <v>221</v>
      </c>
      <c r="H44" t="s">
        <v>227</v>
      </c>
      <c r="I44" t="s">
        <v>228</v>
      </c>
      <c r="J44" t="s">
        <v>46</v>
      </c>
      <c r="K44" t="s">
        <v>342</v>
      </c>
      <c r="L44" t="s">
        <v>172</v>
      </c>
      <c r="M44" t="s">
        <v>173</v>
      </c>
      <c r="N44">
        <v>0</v>
      </c>
      <c r="O44" t="s">
        <v>174</v>
      </c>
      <c r="P44" t="s">
        <v>179</v>
      </c>
      <c r="Q4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Hanoi_Adjustments_Clean</vt:lpstr>
      <vt:lpstr>HCMC_Adjustments_Clean</vt:lpstr>
      <vt:lpstr>Hanoi_Base_Clean_v3</vt:lpstr>
      <vt:lpstr>HCMC_Base_Clean_v3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van Konkelenberg</dc:creator>
  <cp:lastModifiedBy>Ron van Konkelenberg</cp:lastModifiedBy>
  <dcterms:created xsi:type="dcterms:W3CDTF">2025-09-19T06:01:31Z</dcterms:created>
  <dcterms:modified xsi:type="dcterms:W3CDTF">2025-09-22T01:08:43Z</dcterms:modified>
</cp:coreProperties>
</file>